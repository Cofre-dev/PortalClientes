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eneral\AREA DE TRABAJO\ZOHO\"/>
    </mc:Choice>
  </mc:AlternateContent>
  <xr:revisionPtr revIDLastSave="0" documentId="13_ncr:1_{AE320A80-549A-4885-BB93-571483AADBC8}" xr6:coauthVersionLast="47" xr6:coauthVersionMax="47" xr10:uidLastSave="{00000000-0000-0000-0000-000000000000}"/>
  <bookViews>
    <workbookView xWindow="-19310" yWindow="-130" windowWidth="19420" windowHeight="10300" xr2:uid="{A8E69DEF-A87D-4892-BEBE-5FE2FA3BE7BD}"/>
  </bookViews>
  <sheets>
    <sheet name="CLIENTES" sheetId="1" r:id="rId1"/>
    <sheet name="RELACIONADAS" sheetId="5" r:id="rId2"/>
    <sheet name="PROPUESTA FORMULARIO" sheetId="7" r:id="rId3"/>
    <sheet name="MATRICES" sheetId="2" r:id="rId4"/>
  </sheets>
  <definedNames>
    <definedName name="_xlnm._FilterDatabase" localSheetId="0" hidden="1">CLIENTES!$A$1:$T$132</definedName>
    <definedName name="_xlnm._FilterDatabase" localSheetId="1" hidden="1">RELACIONADAS!$A$1:$I$681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C102" i="1"/>
  <c r="C103" i="1" s="1"/>
  <c r="C104" i="1" s="1"/>
  <c r="C105" i="1" s="1"/>
  <c r="C106" i="1" s="1"/>
  <c r="C107" i="1" s="1"/>
  <c r="C108" i="1" s="1"/>
  <c r="C10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tc={D98C8D1F-EB3F-4726-B56A-B8A9DFF91127}</author>
    <author>tc={165C7BD6-B035-485F-B84F-BC1750D9E434}</author>
  </authors>
  <commentList>
    <comment ref="L1" authorId="0" shapeId="0" xr:uid="{D98C8D1F-EB3F-4726-B56A-B8A9DFF911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caso de ser extraordinario, se detallará que tipo de servicio se le entregará.</t>
      </text>
    </comment>
    <comment ref="D35" authorId="1" shapeId="0" xr:uid="{165C7BD6-B035-485F-B84F-BC1750D9E4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DÓLARES</t>
      </text>
    </comment>
  </commentList>
</comments>
</file>

<file path=xl/sharedStrings.xml><?xml version="1.0" encoding="utf-8"?>
<sst xmlns="http://schemas.openxmlformats.org/spreadsheetml/2006/main" count="7548" uniqueCount="1141">
  <si>
    <t>GRUPO</t>
  </si>
  <si>
    <t>EMPRESA</t>
  </si>
  <si>
    <t>REPRESENTANTE LEGAL</t>
  </si>
  <si>
    <t>RUT EMPRESA</t>
  </si>
  <si>
    <t>SOCIO</t>
  </si>
  <si>
    <t>% PARTICIPACIÓN SOCIO</t>
  </si>
  <si>
    <t>TIPO DE SERVICIO</t>
  </si>
  <si>
    <t>PERIODICIDAD SERVICIO</t>
  </si>
  <si>
    <t>ACTIVIDADES ASOCIADAS AL SERVICIO</t>
  </si>
  <si>
    <t>DETALLE SERVICIO</t>
  </si>
  <si>
    <t>COMPLEJIDAD CLIENTE</t>
  </si>
  <si>
    <t>EJECUTIVO CONTABLE A CARGO</t>
  </si>
  <si>
    <t>CORREO CONTACTO EJECUTIVO CONTABLE</t>
  </si>
  <si>
    <t>CORREO CONTACTO SII</t>
  </si>
  <si>
    <t>CORREO NOTIFICACIÓN SII</t>
  </si>
  <si>
    <t>GRUPO ABCIA</t>
  </si>
  <si>
    <t>RENTAS LEXCORP LIMITADA</t>
  </si>
  <si>
    <t>FRANCISCO JAVIER ALLENDE DECOMBE</t>
  </si>
  <si>
    <t>7032531-4</t>
  </si>
  <si>
    <t>RENTAS LA LLAVERI LIMITADA</t>
  </si>
  <si>
    <t>SOCIEDAS CIVIL DE RENTAS LA PASTORA S.C</t>
  </si>
  <si>
    <t>INVERSIONES RODAS DE BAHIA LIMITADA</t>
  </si>
  <si>
    <t>CONTABLE</t>
  </si>
  <si>
    <t>TRIBUTARIO</t>
  </si>
  <si>
    <t>1)</t>
  </si>
  <si>
    <t>2)</t>
  </si>
  <si>
    <t>PERIODICIDAD DEL SERVICIO</t>
  </si>
  <si>
    <t>PERMANENTE</t>
  </si>
  <si>
    <t>EXTRAORDINARIO</t>
  </si>
  <si>
    <t>3)</t>
  </si>
  <si>
    <t>COMPLEJIDAD DEL CLIENTE</t>
  </si>
  <si>
    <t>ALTA</t>
  </si>
  <si>
    <t>MEDIA</t>
  </si>
  <si>
    <t>BAJA</t>
  </si>
  <si>
    <t>Matriz_Actividades-Tareas_AyB.xlsx</t>
  </si>
  <si>
    <t>4)</t>
  </si>
  <si>
    <t>ANA MARÍA ACEVEDO</t>
  </si>
  <si>
    <t>NATALY ZELADA</t>
  </si>
  <si>
    <t>anamaria.acevedo@araybustamante.cl</t>
  </si>
  <si>
    <t>carlos.arag@araybustamante.cl</t>
  </si>
  <si>
    <t>RENTAS LA LLAVERIA LIMITADA</t>
  </si>
  <si>
    <t>RENTAS LEXCORP</t>
  </si>
  <si>
    <t>RENTAS LA PASTORA</t>
  </si>
  <si>
    <t>FELIPE ALBERTO ALLENDE DECOMBE</t>
  </si>
  <si>
    <t>7032527-6</t>
  </si>
  <si>
    <t>SOCIEDAD CIVIL DE RENTAS CADINI</t>
  </si>
  <si>
    <t>76082218-3</t>
  </si>
  <si>
    <t xml:space="preserve">SOCIEDAD CIVIL RENTAS IGNACIO </t>
  </si>
  <si>
    <t>RENTAS E INVERSIONES MONTREAL LIMITADA</t>
  </si>
  <si>
    <t>ASESORIAS E INVERSIONES SANTA ELOISA SPA.</t>
  </si>
  <si>
    <t>INVERSIONES SMITHFIELD LIMITADA</t>
  </si>
  <si>
    <t>77550165-0</t>
  </si>
  <si>
    <t>INFORMACIÓN A RECIBIR DESDE EL CLIENTE</t>
  </si>
  <si>
    <t>INFORMACIÓN A ENTREGAR AL CLIENTE</t>
  </si>
  <si>
    <t>5)</t>
  </si>
  <si>
    <t>* CARTOLAS BANCARIAS
* CARTOLAS DE INVERSIÓN
* LIBRO BANCO
* FACTURAS (COMPRAS Y VENTAS DE INVERSIONES)
* OPCIONALES: CONTRATOS DE ARRIENDOS, PAGARÉS, ENTRE OTROS</t>
  </si>
  <si>
    <t>6)</t>
  </si>
  <si>
    <t>INFORMACIÓN A MANDAR AL CLIENTE</t>
  </si>
  <si>
    <t>* FORMULARIO 29
* AVISO DE PATENTES COMERCIALES (SEMESTRAL)
* FORMULARIO 22 (PERSONA)
* FORMULARIO 22</t>
  </si>
  <si>
    <t>RODAS DE BAHÍA</t>
  </si>
  <si>
    <t>FRANCISCO JAVIER ALLENDE PEREZ DE ARCE</t>
  </si>
  <si>
    <t>16663359-1</t>
  </si>
  <si>
    <t>JOSÉ ALBERTO ALLENDE PERÉZ DE ARCE</t>
  </si>
  <si>
    <t>17268789-K</t>
  </si>
  <si>
    <t>VICENTE ALLENDE PEREZ DE ARCE</t>
  </si>
  <si>
    <t>17700022-1</t>
  </si>
  <si>
    <t>MARIA ELENA ALLENDE PEREZ DE ARCE</t>
  </si>
  <si>
    <t>18934109-1</t>
  </si>
  <si>
    <t>ANDRES ALLENDE PEREZ DE ARCE</t>
  </si>
  <si>
    <t>19246955-4</t>
  </si>
  <si>
    <t>MARIA GRACIA ALLENDE PEREZ DE ARCE</t>
  </si>
  <si>
    <t>20444507-9</t>
  </si>
  <si>
    <t>CRISTOBAL ALLENDE PEREZ DE ARCE</t>
  </si>
  <si>
    <t>21551467-6</t>
  </si>
  <si>
    <t>PERSONA NATURAL</t>
  </si>
  <si>
    <t>LUZ MARIA ALLIENDE GONZALEZ</t>
  </si>
  <si>
    <t>10723584-1</t>
  </si>
  <si>
    <t>SOCIEDAD CIVIL DE RENTAS EL ARCON</t>
  </si>
  <si>
    <t>RENTAS ALPER LIMITADA</t>
  </si>
  <si>
    <t>RENTAS ALPER</t>
  </si>
  <si>
    <t>MARIA ELENA PEREZ DE ARCE ARAYA</t>
  </si>
  <si>
    <t>8930871-2</t>
  </si>
  <si>
    <t>RENTAS EL ARCÓN</t>
  </si>
  <si>
    <t>NOMBRE FANTASÍA INTERNO AYB</t>
  </si>
  <si>
    <t>FELIPE JOSE ALLENDE ALLIENDE</t>
  </si>
  <si>
    <t>21276943-6</t>
  </si>
  <si>
    <t>ALFONSO JOSE ALLENDE ALLIENDE</t>
  </si>
  <si>
    <t>22485630-K</t>
  </si>
  <si>
    <t>CAROLINA ADRIANA LETELIER CASTILLO</t>
  </si>
  <si>
    <t>13472089-1</t>
  </si>
  <si>
    <t>JOSE LUIS IBANEZ BAFALLUY</t>
  </si>
  <si>
    <t>13670630-6</t>
  </si>
  <si>
    <t>RENTAS LA LLAVERÍA</t>
  </si>
  <si>
    <t>RENTAS MONTREAL</t>
  </si>
  <si>
    <t>MARIA AURORA ANDREA ISENSEE UGARTE</t>
  </si>
  <si>
    <t>7033677-4</t>
  </si>
  <si>
    <t>RAFAEL LIRA CHADWICK</t>
  </si>
  <si>
    <t>7921281-4</t>
  </si>
  <si>
    <t>RENTAS CADINI</t>
  </si>
  <si>
    <t>CAMILA ANDREA LIRA ISENSEE</t>
  </si>
  <si>
    <t>16367407-6</t>
  </si>
  <si>
    <t>DIEGO RAFAEL LIRA ISENSEE</t>
  </si>
  <si>
    <t>17084805-5</t>
  </si>
  <si>
    <t>NICOLAS JOSE LIRA ISENSEE</t>
  </si>
  <si>
    <t>19244565-5</t>
  </si>
  <si>
    <t>INMOBILIARIA ESPACIO LEGAL SPA</t>
  </si>
  <si>
    <t>ESPACIO LEGAL</t>
  </si>
  <si>
    <t>FELIPE BASCUNAN MONTANER</t>
  </si>
  <si>
    <t>7040460-5</t>
  </si>
  <si>
    <t>GONZALO JOSE GARFIAS VON FURSTENBERG</t>
  </si>
  <si>
    <t>10609558-2</t>
  </si>
  <si>
    <t>INVERSIONES RODAS DE BAHIA INTERNACIONAL SPA</t>
  </si>
  <si>
    <t>LA LLAVERIA INTERNACIONAL SPA</t>
  </si>
  <si>
    <t>GRUPO DONOSO</t>
  </si>
  <si>
    <t>INMOBILIARIA E INVERSIONES PIREHUEICO SPA</t>
  </si>
  <si>
    <t>IGNACIO DONOSO SCHULZ</t>
  </si>
  <si>
    <t>15381558-5</t>
  </si>
  <si>
    <t>JOSE TOMAS URETA ICAZA</t>
  </si>
  <si>
    <t>15384932-3</t>
  </si>
  <si>
    <t>INMOBILIARIA E INVERSIONES TAORMINA LTDA.</t>
  </si>
  <si>
    <t>JAVIERA SELIKA CAMPOS MUNOZ</t>
  </si>
  <si>
    <t>16094837-K</t>
  </si>
  <si>
    <t>MARIO DONOSO SCHULZ</t>
  </si>
  <si>
    <t>16095339-K</t>
  </si>
  <si>
    <t>PIREHUEICO</t>
  </si>
  <si>
    <t>TAORMINA</t>
  </si>
  <si>
    <t>SANTA ELOISA</t>
  </si>
  <si>
    <t>MARIO GINES DONOSO SCROPPO</t>
  </si>
  <si>
    <t>5078623-4</t>
  </si>
  <si>
    <t>MARIA TRINIDAD MOZO FUENZALIDA</t>
  </si>
  <si>
    <t>15379463-4</t>
  </si>
  <si>
    <t>JAIME ANDRES MOZO FUENZALIDA</t>
  </si>
  <si>
    <t>16370852-3</t>
  </si>
  <si>
    <t>RENTAS ABCIA LIMITADA</t>
  </si>
  <si>
    <t>RENTAS ABCIA</t>
  </si>
  <si>
    <t>RENTAS MANENA LIMITADA</t>
  </si>
  <si>
    <t>77088560-4</t>
  </si>
  <si>
    <t>RODAS DE BAHÍA INTERNACIONAL</t>
  </si>
  <si>
    <t>LA LLAVERÍA INTERNACIONAL</t>
  </si>
  <si>
    <t>7032531-1</t>
  </si>
  <si>
    <t>79978870-5</t>
  </si>
  <si>
    <t xml:space="preserve">LUZ MARIA ALLIENDE GONZALEZ </t>
  </si>
  <si>
    <t>76007540-K</t>
  </si>
  <si>
    <t>FORESTAL RECIMEX S.A.</t>
  </si>
  <si>
    <t>96686390-0</t>
  </si>
  <si>
    <t>LUIS HERIBERTO HOCHSCHILD PLAUT</t>
  </si>
  <si>
    <t>1663047-0</t>
  </si>
  <si>
    <t>EDUARDO PEDRO VINUELA SUAREZ</t>
  </si>
  <si>
    <t>5620524-1</t>
  </si>
  <si>
    <t>ARTURO ALESSANDRI COHN</t>
  </si>
  <si>
    <t>4666915-0</t>
  </si>
  <si>
    <t>JOSE LUIS VINUELA SUAREZ</t>
  </si>
  <si>
    <t>6420857-8</t>
  </si>
  <si>
    <t>MIGUEL LUIS HEUMANN HOCHSCHILD</t>
  </si>
  <si>
    <t>6373673-2</t>
  </si>
  <si>
    <t>INVERSIONES INDELMEX LIMITADA</t>
  </si>
  <si>
    <t>96582920-2</t>
  </si>
  <si>
    <t>ANA BEECK DE HOCHSCHILD</t>
  </si>
  <si>
    <t>48016533-0</t>
  </si>
  <si>
    <t>INMOBILIARIA HC LIMITADA</t>
  </si>
  <si>
    <t>ALAN FERNANDO HOCHSCHILD BEECK</t>
  </si>
  <si>
    <t>14490125-8</t>
  </si>
  <si>
    <t>GALIA</t>
  </si>
  <si>
    <t>59094410-6</t>
  </si>
  <si>
    <t>DOMENICA</t>
  </si>
  <si>
    <t>59094420-3</t>
  </si>
  <si>
    <t>RENTAS HC LIMITADA</t>
  </si>
  <si>
    <t>INMOBILIARIA EL GOLF 1 SPA</t>
  </si>
  <si>
    <t>JULIO ANDRES CARVALLO MONTERO</t>
  </si>
  <si>
    <t>13457117-9</t>
  </si>
  <si>
    <t>PRESTACIONES MEDICAS JAIMOVICH Y GILBERT E INVERSIONES LIMITADA</t>
  </si>
  <si>
    <t>76423992-K</t>
  </si>
  <si>
    <t>INVERSIONES MANQUECURA LIMITADA</t>
  </si>
  <si>
    <t>76451286-3</t>
  </si>
  <si>
    <t>EL ALERCE SPA</t>
  </si>
  <si>
    <t>76501999-0</t>
  </si>
  <si>
    <t>INVERSIONES ACT LIMITADA</t>
  </si>
  <si>
    <t>76682507-9</t>
  </si>
  <si>
    <t>INVERSIONES NC LIMITADA</t>
  </si>
  <si>
    <t>76682914-7</t>
  </si>
  <si>
    <t>76959920-7</t>
  </si>
  <si>
    <t>FORESTAL TERRASUR LIMITADA</t>
  </si>
  <si>
    <t>76085989-3</t>
  </si>
  <si>
    <t>AGRICOLA LAS ENCINAS DE DIGUILLIN LIMITADA</t>
  </si>
  <si>
    <t>76040172-2</t>
  </si>
  <si>
    <t>RECIMEX</t>
  </si>
  <si>
    <t>INMOBILIARIA HC</t>
  </si>
  <si>
    <t>RENTAS HC</t>
  </si>
  <si>
    <t>EL GOLF</t>
  </si>
  <si>
    <t>TERRASUR</t>
  </si>
  <si>
    <t>EBB TRADING LIMITADA</t>
  </si>
  <si>
    <t>77136614-7</t>
  </si>
  <si>
    <t>JUAN EDUARDO BUNSTER BETTELEY</t>
  </si>
  <si>
    <t>6061257-9</t>
  </si>
  <si>
    <t>XIMENA INES CHARME GUILLARD</t>
  </si>
  <si>
    <t>6280971-K</t>
  </si>
  <si>
    <t>RENTAS BUNSCHAR LTDA</t>
  </si>
  <si>
    <t>76705480-7</t>
  </si>
  <si>
    <t>BERNARDITA BUNSTER CHARME</t>
  </si>
  <si>
    <t>13657841-3</t>
  </si>
  <si>
    <t>EDUARDO BUNSTER CHARME</t>
  </si>
  <si>
    <t>13883123-K</t>
  </si>
  <si>
    <t>MAGDALENA BUNSTER CHARME</t>
  </si>
  <si>
    <t>15313681-5</t>
  </si>
  <si>
    <t>PILAR BUNSTER CHARME</t>
  </si>
  <si>
    <t>16016948-6</t>
  </si>
  <si>
    <t>ASESORIAS E INVERSIONES HOLOSCOPICA LIMITADA</t>
  </si>
  <si>
    <t>76036718-4</t>
  </si>
  <si>
    <t>NABE PRODUCCIONES SPA</t>
  </si>
  <si>
    <t>76890947-4</t>
  </si>
  <si>
    <t>ROBERTO OLIVOS MARCHANT</t>
  </si>
  <si>
    <t>5310543-2</t>
  </si>
  <si>
    <t>JORGE ALBERTO BUNSTER BETTELEY</t>
  </si>
  <si>
    <t>6066143-K</t>
  </si>
  <si>
    <t>LORENA BELEN ABARZA CASTILLO</t>
  </si>
  <si>
    <t>16074124-4</t>
  </si>
  <si>
    <t>INVERSIONES SANTA MAGDALENA LIMITADA</t>
  </si>
  <si>
    <t>77277060-K</t>
  </si>
  <si>
    <t>EBB</t>
  </si>
  <si>
    <t>BUNSCHAR</t>
  </si>
  <si>
    <t>HOLOSCÓPICA</t>
  </si>
  <si>
    <t>NABE</t>
  </si>
  <si>
    <t>SANTA MAGDALENA</t>
  </si>
  <si>
    <t>GRUPO EDUARDO BUNSTER</t>
  </si>
  <si>
    <t>INVERSIONES EL CANELO LIMITADA</t>
  </si>
  <si>
    <t>52002454-9</t>
  </si>
  <si>
    <t>ADMINISTRADORA EL LINGUE SPA</t>
  </si>
  <si>
    <t>76412175-9</t>
  </si>
  <si>
    <t>RENTAS LOS CIPRESES LIMITADA</t>
  </si>
  <si>
    <t>76412593-2</t>
  </si>
  <si>
    <t>ASESORIAS RIHUE LIMITADA</t>
  </si>
  <si>
    <t>96635660-K</t>
  </si>
  <si>
    <t>MARIA CONSUELO BENAVENTE BENAVENTE</t>
  </si>
  <si>
    <t>7509161-3</t>
  </si>
  <si>
    <t>MARIA CONSUELO BUNSTER BENAVENTE</t>
  </si>
  <si>
    <t>13658256-9</t>
  </si>
  <si>
    <t>JOSEFINA BUNSTER BENAVENTE</t>
  </si>
  <si>
    <t>14122765-3</t>
  </si>
  <si>
    <t>JORGE ANDRES BUNSTER BENAVENTE</t>
  </si>
  <si>
    <t>16021592-5</t>
  </si>
  <si>
    <t>MARTIN BUNSTER BENAVENTE</t>
  </si>
  <si>
    <t>16661827-4</t>
  </si>
  <si>
    <t>GRUPO JORGE BUNSTER</t>
  </si>
  <si>
    <t>N° GRUPO</t>
  </si>
  <si>
    <t>N° EMPRESA</t>
  </si>
  <si>
    <t>INMOBILIARIA ZAÑARTU Y COMPAÑÍA</t>
  </si>
  <si>
    <t>79859040-5</t>
  </si>
  <si>
    <t>MANUEL ANTONIO ERRAZURIZ RUIZ-TAGLE</t>
  </si>
  <si>
    <t>5616237-2</t>
  </si>
  <si>
    <t>MANUEL ANTONIO ERRAZURIZ ZANARTU</t>
  </si>
  <si>
    <t>13551850-6</t>
  </si>
  <si>
    <t>DIEGO ERRAZURIZ ZANARTU</t>
  </si>
  <si>
    <t>15378180-K</t>
  </si>
  <si>
    <t>RENTAS E INVERSIONES LAS LOMAS LIMITADA</t>
  </si>
  <si>
    <t>76121782-8</t>
  </si>
  <si>
    <t>INVERSIONES MANUEL ANTONIO ERRAZURIZ LIMITADA</t>
  </si>
  <si>
    <t>77124370-3</t>
  </si>
  <si>
    <t>ADMINISTRADORA ARIZCUN LIMITADA</t>
  </si>
  <si>
    <t>76119909-9</t>
  </si>
  <si>
    <t>ELISABETH CECILIA GILDEMEISTER MEIER</t>
  </si>
  <si>
    <t>5926187-8</t>
  </si>
  <si>
    <t>76418964-7</t>
  </si>
  <si>
    <t>WALLY MITTERMAYR COZZI</t>
  </si>
  <si>
    <t>5780003-8</t>
  </si>
  <si>
    <t>INVERSIONES HACHI SPA</t>
  </si>
  <si>
    <t>76299551-4</t>
  </si>
  <si>
    <t>INVERSIONES EL AVELLANO LIMITADA</t>
  </si>
  <si>
    <t>77366410-2</t>
  </si>
  <si>
    <t>RENATO SOFFIA AGUIRRE</t>
  </si>
  <si>
    <t>7003376-3</t>
  </si>
  <si>
    <t>MARIA PAZ RICHARD ROGERS</t>
  </si>
  <si>
    <t>7772804-K</t>
  </si>
  <si>
    <t>PATRICIO ENRIQUE SOFFIA RICHARD</t>
  </si>
  <si>
    <t>17703195-K</t>
  </si>
  <si>
    <t>MARIA PAZ SOFFIA RICHARD</t>
  </si>
  <si>
    <t>18634674-2</t>
  </si>
  <si>
    <t>ISIDORA SOFFIA RICHARD</t>
  </si>
  <si>
    <t>19080751-7</t>
  </si>
  <si>
    <t>CLEMENTE SOFFIA RICHARD</t>
  </si>
  <si>
    <t>19637741-7</t>
  </si>
  <si>
    <t>FLORENCIA SOFFIA RICHARD</t>
  </si>
  <si>
    <t>20694556-7</t>
  </si>
  <si>
    <t>TRINIDAD JESUS SOFFIA RICHARD</t>
  </si>
  <si>
    <t>21334013-1</t>
  </si>
  <si>
    <t>INVERSIONES LOS FRESNOS SPA</t>
  </si>
  <si>
    <t>78172330-4</t>
  </si>
  <si>
    <t>JORGE FERNANDEZ VALDES</t>
  </si>
  <si>
    <t>3189057-8</t>
  </si>
  <si>
    <t>MARIA CAROLINA FERNANDEZ GARCIA</t>
  </si>
  <si>
    <t>6377733-1</t>
  </si>
  <si>
    <t>FRANCISCO JAVIER ERRANDONEA ITURRIA</t>
  </si>
  <si>
    <t>3289296-5</t>
  </si>
  <si>
    <t>JORGE ANDRES FERNANDEZ GARCIA</t>
  </si>
  <si>
    <t>6377734-K</t>
  </si>
  <si>
    <t>MARIA DE LA PAZ FERNANDEZ GARCIA</t>
  </si>
  <si>
    <t>6377735-8</t>
  </si>
  <si>
    <t>CRISTIAN FERNANDEZ GARCIA</t>
  </si>
  <si>
    <t>9216903-0</t>
  </si>
  <si>
    <t>ANDRES FERNANDEZ GARCIA</t>
  </si>
  <si>
    <t>6446623-2</t>
  </si>
  <si>
    <t>MARIA ALEJANDRA GANA FERNANDEZ</t>
  </si>
  <si>
    <t>10852362-K</t>
  </si>
  <si>
    <t>GONZALO FERNANDEZ GARCIA</t>
  </si>
  <si>
    <t>13441707-2</t>
  </si>
  <si>
    <t>MARIA IGNACIA CAMPINO FERNANDEZ</t>
  </si>
  <si>
    <t>17598193-4</t>
  </si>
  <si>
    <t>MARIA FRANCISCA CAMPINO FERNANDEZ</t>
  </si>
  <si>
    <t>18395510-1</t>
  </si>
  <si>
    <t>NICOLAS GUZMAN FERNANDEZ</t>
  </si>
  <si>
    <t>18638344-3</t>
  </si>
  <si>
    <t>MARTIN FERNANDEZ GANA</t>
  </si>
  <si>
    <t>20666164-K</t>
  </si>
  <si>
    <t>INVERSIONES HFG LIMITADA</t>
  </si>
  <si>
    <t>76076557-0</t>
  </si>
  <si>
    <t>MARIA JOSE VERGARA RUIZ-TAGLE</t>
  </si>
  <si>
    <t>15377678-4</t>
  </si>
  <si>
    <t>MARIA CAROLINA CAMPINO FERNANDEZ</t>
  </si>
  <si>
    <t>16018935-5</t>
  </si>
  <si>
    <t>MARIA ANGELICA FERNANDEZ DOMINGUEZ</t>
  </si>
  <si>
    <t>18021941-2</t>
  </si>
  <si>
    <t>MARIA SOFIA FERNANDEZ CAMBIASO</t>
  </si>
  <si>
    <t>18022008-9</t>
  </si>
  <si>
    <t>MARIA JESUS FERNANDEZ CAMBIASO</t>
  </si>
  <si>
    <t>18395667-1</t>
  </si>
  <si>
    <t>VALENTINA FERNANDEZ CAMBIASO</t>
  </si>
  <si>
    <t>18932366-2</t>
  </si>
  <si>
    <t>MANUEL JOSE GUZMAN FERNANDEZ</t>
  </si>
  <si>
    <t>19322605-1</t>
  </si>
  <si>
    <t>JOSE TOMAS FERNANDEZ DOMINGUEZ</t>
  </si>
  <si>
    <t>19639394-3</t>
  </si>
  <si>
    <t>MARIA CATALINA FERNANDEZ DOMINGUEZ</t>
  </si>
  <si>
    <t>19893679-0</t>
  </si>
  <si>
    <t>MARIA PAZ GUZMAN FERNANDEZ</t>
  </si>
  <si>
    <t>20075665-7</t>
  </si>
  <si>
    <t>CRISTIAN FERNANDEZ GANA</t>
  </si>
  <si>
    <t>20427784-2</t>
  </si>
  <si>
    <t>VICENTE GUZMAN FERNANDEZ</t>
  </si>
  <si>
    <t>22040896-5</t>
  </si>
  <si>
    <t>MARIA FERNANDEZ VERGARA</t>
  </si>
  <si>
    <t>22365606-4</t>
  </si>
  <si>
    <t>PABLO ANDRES CAMPINO FERNANDEZ</t>
  </si>
  <si>
    <t>16371621-6</t>
  </si>
  <si>
    <t>SEBASTIAN CAMPINO FERNANDEZ</t>
  </si>
  <si>
    <t>17960742-5</t>
  </si>
  <si>
    <t>ANTONIA FERNANDEZ GANA</t>
  </si>
  <si>
    <t>19688417-3</t>
  </si>
  <si>
    <t>MARIA ELISA GUZMAN FERNANDEZ</t>
  </si>
  <si>
    <t>20806492-4</t>
  </si>
  <si>
    <t>COLOMBA FERNANDEZ GANA</t>
  </si>
  <si>
    <t>21876991-8</t>
  </si>
  <si>
    <t>COMUNIDAD FERNANDEZ-GARCIA</t>
  </si>
  <si>
    <t>MARIA DE LA PAZ ALICIA GARCIA BALMACEDA</t>
  </si>
  <si>
    <t>4361215-8</t>
  </si>
  <si>
    <t>INVERSIONES SALAR GRANDE LIMITADA</t>
  </si>
  <si>
    <t>76066856-7</t>
  </si>
  <si>
    <t>INVERSIONES BAHIA RANCO LIMITADA</t>
  </si>
  <si>
    <t>77465632-4</t>
  </si>
  <si>
    <t>INVERSIONES MCFG LTDA.</t>
  </si>
  <si>
    <t>77531772-8</t>
  </si>
  <si>
    <t>INVERSIONES FERVER LIMITADA</t>
  </si>
  <si>
    <t>77587227-6</t>
  </si>
  <si>
    <t>INVERSIONES FC SPA</t>
  </si>
  <si>
    <t>77726444-3</t>
  </si>
  <si>
    <t>INVERSIONES BAHIA TRANQUILA LIMITADA</t>
  </si>
  <si>
    <t>77726453-2</t>
  </si>
  <si>
    <t>AGRICOLA JFV SPA</t>
  </si>
  <si>
    <t>77755087-K</t>
  </si>
  <si>
    <t>INVERSIONES AUQUINCO INTERNACIONAL SPA</t>
  </si>
  <si>
    <t>CARLOS CORSSEN PEREIRA</t>
  </si>
  <si>
    <t>8532794-1</t>
  </si>
  <si>
    <t>INVERSIONES AUQUINCO LIMITADA</t>
  </si>
  <si>
    <t>77064860-2</t>
  </si>
  <si>
    <t>FERNANDO CORSSEN RIVERA</t>
  </si>
  <si>
    <t>2233351-8</t>
  </si>
  <si>
    <t>MARIA JOSEFINA ADRIANA PEREIRA SALAS</t>
  </si>
  <si>
    <t>3180067-6</t>
  </si>
  <si>
    <t>ADMINISTRADORA CP SPA</t>
  </si>
  <si>
    <t>76008327-5</t>
  </si>
  <si>
    <t>ASESORIAS E INVERSIONES CW LIMITADA</t>
  </si>
  <si>
    <t>77488090-9</t>
  </si>
  <si>
    <t>CLAUDIA WIDOYCOVICH VARAS</t>
  </si>
  <si>
    <t>8533182-5</t>
  </si>
  <si>
    <t>FERNANDO CORSSEN WIDOYCOVICH</t>
  </si>
  <si>
    <t>20071518-7</t>
  </si>
  <si>
    <t>BENJAMIN CORSSEN WIDOYCOVICH</t>
  </si>
  <si>
    <t>20664604-7</t>
  </si>
  <si>
    <t>CRISTOBAL CORSSEN WIDOYCOVICH</t>
  </si>
  <si>
    <t>21678055-8</t>
  </si>
  <si>
    <t>ELISA CORSSEN WIDOYCOVICH</t>
  </si>
  <si>
    <t>22416069-0</t>
  </si>
  <si>
    <t>AGRICOLA Y FORESTAL HALLULLAS LIMITADA</t>
  </si>
  <si>
    <t>79786080-8</t>
  </si>
  <si>
    <t>JAIME JOSE CORREA HOGG</t>
  </si>
  <si>
    <t>5892161-0</t>
  </si>
  <si>
    <t>MARIA LUISA DEL NINO JESU DOMINGUEZ VALDES</t>
  </si>
  <si>
    <t>6061378-8</t>
  </si>
  <si>
    <t>INVERSIONES OCTAEDRO S.A.</t>
  </si>
  <si>
    <t>99530640-9</t>
  </si>
  <si>
    <t>JAIME JOSE CORREA DOMINGUEZ</t>
  </si>
  <si>
    <t>13232521-9</t>
  </si>
  <si>
    <t>MARIA LUISA CORREA DOMINGUEZ</t>
  </si>
  <si>
    <t>13435339-2</t>
  </si>
  <si>
    <t>JUAN PABLO CORREA DOMINGUEZ</t>
  </si>
  <si>
    <t>14118874-7</t>
  </si>
  <si>
    <t>ROSARIO CORREA DOMINGUEZ</t>
  </si>
  <si>
    <t>15380405-2</t>
  </si>
  <si>
    <t>MARIA DEL PILAR CORREA DOMINGUEZ</t>
  </si>
  <si>
    <t>15644272-0</t>
  </si>
  <si>
    <t>SEBASTIAN CORREA DOMINGUEZ</t>
  </si>
  <si>
    <t>16365543-8</t>
  </si>
  <si>
    <t>TERESITA MARIA CORREA DOMINGUEZ</t>
  </si>
  <si>
    <t>18020456-3</t>
  </si>
  <si>
    <t>RAIMUNDO CORREA DOMINGUEZ</t>
  </si>
  <si>
    <t>18936507-1</t>
  </si>
  <si>
    <t>INMOBILIARIA EL ROBLE LIMITADA</t>
  </si>
  <si>
    <t>79535990-7</t>
  </si>
  <si>
    <t>96962650-0</t>
  </si>
  <si>
    <t>JUAN GUILLERMO DIEGO RICARDO VIVADO PORTALES</t>
  </si>
  <si>
    <t>6026873-8</t>
  </si>
  <si>
    <t>SOC AGRICOLA FINCA SANTA ANA LIMITADA</t>
  </si>
  <si>
    <t>77202870-9</t>
  </si>
  <si>
    <t>INMOBILIARIA MARIA FE LIMITADA</t>
  </si>
  <si>
    <t>77722300-3</t>
  </si>
  <si>
    <t>INVERSIONES SAN BENITO LIMITADA</t>
  </si>
  <si>
    <t>77783100-3</t>
  </si>
  <si>
    <t>INVERSIONES Y ASESORIAS IRU BAT SPA</t>
  </si>
  <si>
    <t>79776530-9</t>
  </si>
  <si>
    <t>INVERSIONES Y ASESORIAS PUDAHUEL LIMITADA</t>
  </si>
  <si>
    <t>84116400-8</t>
  </si>
  <si>
    <t>RAFAEL LUIS ADOLFO OVALLE CORREA</t>
  </si>
  <si>
    <t>3809324-K</t>
  </si>
  <si>
    <t>PABLO JAVIER EGUIGUREN HODGSON</t>
  </si>
  <si>
    <t>2304401-3</t>
  </si>
  <si>
    <t>INMOBILIARIA Y COMERCIAL EL BOSQUE LTDA</t>
  </si>
  <si>
    <t>85728800-9</t>
  </si>
  <si>
    <t>INMOBILIARIA Y COMERCIAL EL BOSQUE LIMITADA</t>
  </si>
  <si>
    <t>MARIA LUISA DEL PERPETUO SOCOR VALDES ORTUZAR</t>
  </si>
  <si>
    <t>4112090-8</t>
  </si>
  <si>
    <t>MARIA MACARENA DEL SAGRADO COR OVALLE VALDES</t>
  </si>
  <si>
    <t>7022161-6</t>
  </si>
  <si>
    <t>MARIA SOLEDAD OVALLE VALDES</t>
  </si>
  <si>
    <t>9497951-K</t>
  </si>
  <si>
    <t>LUIS FELIPE OVALLE VALDES</t>
  </si>
  <si>
    <t>9498761-K</t>
  </si>
  <si>
    <t>RENTAS CERRO ALTO LIMITADA</t>
  </si>
  <si>
    <t>77806671-8</t>
  </si>
  <si>
    <t>ERNESTO JOSE ELGART OVALLE</t>
  </si>
  <si>
    <t>19639665-9</t>
  </si>
  <si>
    <t>ELISA DEL CORAZON DE JESUS ELGART OVALLE</t>
  </si>
  <si>
    <t>20443866-8</t>
  </si>
  <si>
    <t>DOMINGA MARIA ELGART OVALLE</t>
  </si>
  <si>
    <t>21432044-4</t>
  </si>
  <si>
    <t>MAX JOSE AGUSTIN ELGART OVALLE</t>
  </si>
  <si>
    <t>22405989-2</t>
  </si>
  <si>
    <t>RENTAS LAS MONTURAS LIMITADA</t>
  </si>
  <si>
    <t>77815037-9</t>
  </si>
  <si>
    <t>MARIA MACARENA MATTE OVALLE</t>
  </si>
  <si>
    <t>20470558-5</t>
  </si>
  <si>
    <t>MARIA AGUSTINA MATTE OVALLE</t>
  </si>
  <si>
    <t>21408300-0</t>
  </si>
  <si>
    <t>CRISTOBAL JOSE MATTE OVALLE</t>
  </si>
  <si>
    <t>21959640-5</t>
  </si>
  <si>
    <t>RENTAS PUENTE PIEDRA LIMITADA</t>
  </si>
  <si>
    <t>77806676-9</t>
  </si>
  <si>
    <t>MARTIN OVALLE BASCUNAN</t>
  </si>
  <si>
    <t>21706202-0</t>
  </si>
  <si>
    <t>PEDRO JOSE OVALLE BASCUÑAN</t>
  </si>
  <si>
    <t>22144555-4</t>
  </si>
  <si>
    <t>JOSEFINA OVALLE BASCUNAN</t>
  </si>
  <si>
    <t>23120279-K</t>
  </si>
  <si>
    <t>TINEO SPA</t>
  </si>
  <si>
    <t>77274618-0</t>
  </si>
  <si>
    <t>PAOLA CECILIA GARIBALDI DE LA HORRA</t>
  </si>
  <si>
    <t>10034446-7</t>
  </si>
  <si>
    <t>ISIDORA RUIZ GARIBALDI</t>
  </si>
  <si>
    <t>18392418-4</t>
  </si>
  <si>
    <t>FRANCISCA RUIZ GARIBALDI</t>
  </si>
  <si>
    <t>19243848-9</t>
  </si>
  <si>
    <t>VICENTE RUIZ GARIBALDI</t>
  </si>
  <si>
    <t>20071371-0</t>
  </si>
  <si>
    <t>INVERSIONES MICHAY LIMITADA</t>
  </si>
  <si>
    <t>76351863-9</t>
  </si>
  <si>
    <t>LEONOR HERMINIA DE LA HORRA DE LA HORRA</t>
  </si>
  <si>
    <t>3368377-4</t>
  </si>
  <si>
    <t>INVERSIONES GARIBALDI DE LA HORRA LIMITADA</t>
  </si>
  <si>
    <t>76351518-4</t>
  </si>
  <si>
    <t>INMOBILIARIA LAGO NATRI SPA</t>
  </si>
  <si>
    <t>77270933-1</t>
  </si>
  <si>
    <t>JORGE CUCURELLA CARCAMO</t>
  </si>
  <si>
    <t>6835635-0</t>
  </si>
  <si>
    <t>GESTION Y DESARROLLO LIMITADA</t>
  </si>
  <si>
    <t>77238780-6</t>
  </si>
  <si>
    <t>MARIA ROSA LEONOR GARIBALDI DE LA HORRA</t>
  </si>
  <si>
    <t>7005036-6</t>
  </si>
  <si>
    <t>GRUPO YAPUR</t>
  </si>
  <si>
    <t>SOCIEDAD INMOBILIARIA MARIA PAZ LIMITADA</t>
  </si>
  <si>
    <t>79794430-0</t>
  </si>
  <si>
    <t>CARLOS ENRIQUE YAPUR MINAY</t>
  </si>
  <si>
    <t>7010261-7</t>
  </si>
  <si>
    <t>FELIX JORGE YAPUR NAZAR</t>
  </si>
  <si>
    <t>3280949-9</t>
  </si>
  <si>
    <t>FELIX JORGE YAPUR MINAY</t>
  </si>
  <si>
    <t>7010262-5</t>
  </si>
  <si>
    <t>MARIA DE LA PAZ MINAY DONOSO</t>
  </si>
  <si>
    <t>5549651-K</t>
  </si>
  <si>
    <t>ANA MARIA YAPUR MINAY</t>
  </si>
  <si>
    <t>7010260-9</t>
  </si>
  <si>
    <t>JOSE ELIAS YAPUR MINAY</t>
  </si>
  <si>
    <t>7010263-3</t>
  </si>
  <si>
    <t>DISTRIBUIDORA DE COMBUSTIBLES COKE LIMITADA</t>
  </si>
  <si>
    <t>78124380-9</t>
  </si>
  <si>
    <t>GRUPO ARAYA-JERIA</t>
  </si>
  <si>
    <t>FUNDACION DE BENEFICENCIA HERMANOS ARAYA JERIA</t>
  </si>
  <si>
    <t>70727500-6</t>
  </si>
  <si>
    <t>FRANCISCO FERNANDO ARAYA BRAVO</t>
  </si>
  <si>
    <t>6664444-8</t>
  </si>
  <si>
    <t>GRUPO ERRAZURIZ</t>
  </si>
  <si>
    <t>LAS BRISAS  SPA</t>
  </si>
  <si>
    <t>LAS BRISAS</t>
  </si>
  <si>
    <t>HACHI</t>
  </si>
  <si>
    <t>WALLY</t>
  </si>
  <si>
    <t>EL AVELLANO</t>
  </si>
  <si>
    <t>MP RICHARD ROGERS</t>
  </si>
  <si>
    <t>LOS FRESNOS</t>
  </si>
  <si>
    <t>GRUPO MITERMAYER</t>
  </si>
  <si>
    <t>GRUPO SOFFIA</t>
  </si>
  <si>
    <t>GRUPO JORGE FERNANDEZ</t>
  </si>
  <si>
    <t>FERNANDEZ-GARCIA</t>
  </si>
  <si>
    <t>HFG</t>
  </si>
  <si>
    <t>AGRICOLA</t>
  </si>
  <si>
    <t>AUQUINCO</t>
  </si>
  <si>
    <t>AUQUINCO INTERNACIONAL</t>
  </si>
  <si>
    <t>CW</t>
  </si>
  <si>
    <t>CP</t>
  </si>
  <si>
    <t>HALLULLAS</t>
  </si>
  <si>
    <t>OCTAEDRO</t>
  </si>
  <si>
    <t>EL ROBLE</t>
  </si>
  <si>
    <t>TAMAYA</t>
  </si>
  <si>
    <t>PUDAHUEL</t>
  </si>
  <si>
    <t>EL BOSQUE</t>
  </si>
  <si>
    <t>CERRO ALTO</t>
  </si>
  <si>
    <t>LAS MONTURAS</t>
  </si>
  <si>
    <t>PUENTE PIEDRA</t>
  </si>
  <si>
    <t>TINEO</t>
  </si>
  <si>
    <t>MICHAY</t>
  </si>
  <si>
    <t>LAGO NATRI</t>
  </si>
  <si>
    <t>GESTIÓN Y DESARROLLO</t>
  </si>
  <si>
    <t>MARIA PAZ</t>
  </si>
  <si>
    <t>COMBUSTIBLES COKE</t>
  </si>
  <si>
    <t>FAJ</t>
  </si>
  <si>
    <t>NO</t>
  </si>
  <si>
    <t>SI</t>
  </si>
  <si>
    <t>GRUPO HC</t>
  </si>
  <si>
    <t>GRUPO CORSSEN</t>
  </si>
  <si>
    <t>GRUPO CORREA</t>
  </si>
  <si>
    <t>GRUPO VIVADO</t>
  </si>
  <si>
    <t>GRUPO OVALLE</t>
  </si>
  <si>
    <t>GRUPO GARIBALDI</t>
  </si>
  <si>
    <t>FRUPO GARIBALDI</t>
  </si>
  <si>
    <t>78952550-1</t>
  </si>
  <si>
    <t>76082746-0</t>
  </si>
  <si>
    <t>76007540-k</t>
  </si>
  <si>
    <t>53317631-3</t>
  </si>
  <si>
    <t>77989350-2</t>
  </si>
  <si>
    <t>76452272-9</t>
  </si>
  <si>
    <t>76871245-K</t>
  </si>
  <si>
    <t>78036432-7</t>
  </si>
  <si>
    <t>78036542-0</t>
  </si>
  <si>
    <t>76584395-2</t>
  </si>
  <si>
    <t>77383992-1</t>
  </si>
  <si>
    <t>77542465-6</t>
  </si>
  <si>
    <t>76140493-8</t>
  </si>
  <si>
    <t>76327098-K</t>
  </si>
  <si>
    <t>53336046-7</t>
  </si>
  <si>
    <t>77504419-5</t>
  </si>
  <si>
    <t>TIPO RELACIONADO</t>
  </si>
  <si>
    <t>NOMBRE RELACIONADO</t>
  </si>
  <si>
    <t>JORGE BUNSTER</t>
  </si>
  <si>
    <t>ERRAZURIZ</t>
  </si>
  <si>
    <t>76548690-4</t>
  </si>
  <si>
    <t>GRUPO SILVA</t>
  </si>
  <si>
    <t>INVERSIONES Y ASESORIAS SYDARTA LIMITADA</t>
  </si>
  <si>
    <t xml:space="preserve">ADMINISTRADORA BAKER NORTE LIMITADA </t>
  </si>
  <si>
    <t xml:space="preserve">RENTAS BAKER SUR LIMITADA </t>
  </si>
  <si>
    <t xml:space="preserve">ASESORIAS E INVERSIONES EFESOS SPA </t>
  </si>
  <si>
    <t xml:space="preserve">78133360-3  </t>
  </si>
  <si>
    <t xml:space="preserve">76072806-3  </t>
  </si>
  <si>
    <t xml:space="preserve">76072809-8 </t>
  </si>
  <si>
    <t>76470992-6</t>
  </si>
  <si>
    <t>SYDARTA</t>
  </si>
  <si>
    <t>BAKER NORTE</t>
  </si>
  <si>
    <t>BAKER SUR</t>
  </si>
  <si>
    <t>EFESOS</t>
  </si>
  <si>
    <t>MARIA CRISTINA MENDEZ URETA</t>
  </si>
  <si>
    <t>6065359-3</t>
  </si>
  <si>
    <t>ADMINISTRADORA BAKER NORTE LIMITADA</t>
  </si>
  <si>
    <t>76072806-3</t>
  </si>
  <si>
    <t>RENTAS BAKER SUR LIMITADA</t>
  </si>
  <si>
    <t>76072809-8</t>
  </si>
  <si>
    <t>LUIS ERNESTO SILVA BAFALLUY</t>
  </si>
  <si>
    <t>5126588-2</t>
  </si>
  <si>
    <t>ERNESTO SILVA MENDEZ</t>
  </si>
  <si>
    <t>12853905-0</t>
  </si>
  <si>
    <t>MARIA CRISTINA SILVA MENDEZ</t>
  </si>
  <si>
    <t>13039194-K</t>
  </si>
  <si>
    <t>LUZ MARIA SILVA MENDEZ</t>
  </si>
  <si>
    <t>13882606-6</t>
  </si>
  <si>
    <t>FELIPE SILVA MENDEZ</t>
  </si>
  <si>
    <t>15312401-9</t>
  </si>
  <si>
    <t>CONSTANZA PAMELA EBLEN ZALAQUETT</t>
  </si>
  <si>
    <t>16099801-6</t>
  </si>
  <si>
    <t>GRUPO SECURITY</t>
  </si>
  <si>
    <t>96786270-3</t>
  </si>
  <si>
    <t>77173860-5</t>
  </si>
  <si>
    <t>78972520-9</t>
  </si>
  <si>
    <t>77441660-9</t>
  </si>
  <si>
    <t>77464540-3</t>
  </si>
  <si>
    <t>99584690-k</t>
  </si>
  <si>
    <t>76167559-1</t>
  </si>
  <si>
    <t>76229736-1</t>
  </si>
  <si>
    <t>76200933-1</t>
  </si>
  <si>
    <t>76207657-8</t>
  </si>
  <si>
    <t>76249637-2</t>
  </si>
  <si>
    <t>76307757-8</t>
  </si>
  <si>
    <t>76307766-7</t>
  </si>
  <si>
    <t>76360997-9</t>
  </si>
  <si>
    <t>76477415-9</t>
  </si>
  <si>
    <t>76505706-k</t>
  </si>
  <si>
    <t>76524227-4</t>
  </si>
  <si>
    <t>76594759-6</t>
  </si>
  <si>
    <t>76594758-8</t>
  </si>
  <si>
    <t>76168329-2</t>
  </si>
  <si>
    <t>77611170-8</t>
  </si>
  <si>
    <t>TRIMESTRAL</t>
  </si>
  <si>
    <t>GRUPO IGNACIO</t>
  </si>
  <si>
    <t>SOCIEDAD CIVIL DE RENTAS IGNACIO</t>
  </si>
  <si>
    <t>76082741-K</t>
  </si>
  <si>
    <t>GRUPO FERRERO</t>
  </si>
  <si>
    <t>FERRERO CHILE SA</t>
  </si>
  <si>
    <t>HIDROANGOL SA</t>
  </si>
  <si>
    <t>HIDROBONITO SA</t>
  </si>
  <si>
    <t>HIDROCALLAO SPA</t>
  </si>
  <si>
    <t>HIDROENERSUR SA</t>
  </si>
  <si>
    <t>HIDROMOCHO SA</t>
  </si>
  <si>
    <t>HIDRONALCAS SPA</t>
  </si>
  <si>
    <t>HIDROPALMAR SA</t>
  </si>
  <si>
    <t>SIED CHILE SA</t>
  </si>
  <si>
    <t>TORINO SPA</t>
  </si>
  <si>
    <t>CUMBRES SPA</t>
  </si>
  <si>
    <t>76379526-8</t>
  </si>
  <si>
    <t>76067373-0</t>
  </si>
  <si>
    <t>76079566-6</t>
  </si>
  <si>
    <t>76116436-8</t>
  </si>
  <si>
    <t>76003174-7</t>
  </si>
  <si>
    <t>76376443-5</t>
  </si>
  <si>
    <t>76116437-6</t>
  </si>
  <si>
    <t>76065092-7</t>
  </si>
  <si>
    <t>76001363-3</t>
  </si>
  <si>
    <t>76756795-2</t>
  </si>
  <si>
    <t>76253866-0</t>
  </si>
  <si>
    <t>GRUPO GILABERT</t>
  </si>
  <si>
    <t>VITT SPA</t>
  </si>
  <si>
    <t>INVERSIONES BLANQUITA SPA</t>
  </si>
  <si>
    <t>INMOBILIARIA ANGUSMAR SPA</t>
  </si>
  <si>
    <t>78884090-K</t>
  </si>
  <si>
    <t>76092514-4</t>
  </si>
  <si>
    <t>76195220-K</t>
  </si>
  <si>
    <t>76091928-4</t>
  </si>
  <si>
    <t>76392095-K</t>
  </si>
  <si>
    <t>77397050-5</t>
  </si>
  <si>
    <t>76000881-8</t>
  </si>
  <si>
    <t>76817979-4</t>
  </si>
  <si>
    <t>99567710-5</t>
  </si>
  <si>
    <t>GRUPO AGRICOLAS</t>
  </si>
  <si>
    <t>AGRICOLA COVADONGA LIMITADA</t>
  </si>
  <si>
    <t>SOC AGRICOLA EL CARMEN DE PUCALAN LIMITADA</t>
  </si>
  <si>
    <t>AGRICOLA LOMAS DE MAITENES LIMITADA</t>
  </si>
  <si>
    <t>ADMINISTRADORA DON FERNANDO LIMITADA</t>
  </si>
  <si>
    <t>77194550-3</t>
  </si>
  <si>
    <t>79747860-1</t>
  </si>
  <si>
    <t>77013780-2</t>
  </si>
  <si>
    <t>78139980-9</t>
  </si>
  <si>
    <t>GRUPO USACH</t>
  </si>
  <si>
    <t>GRUPO GONZALO</t>
  </si>
  <si>
    <t>GRUPO COX</t>
  </si>
  <si>
    <t>INVERSIONES VALLE ORIENTE LIMITADA</t>
  </si>
  <si>
    <t>MANCORA</t>
  </si>
  <si>
    <t>EL ANGELUS</t>
  </si>
  <si>
    <t>BHV CAPITAL SERVICIOS FINANCIEROS SPA</t>
  </si>
  <si>
    <t>AZIMUT</t>
  </si>
  <si>
    <t>DOÑA ANSELMA</t>
  </si>
  <si>
    <t>SOCIEDAD INVERSIONES AGROLIQUID LIMITADA</t>
  </si>
  <si>
    <t>ASESORIAS E INVERSIONES SANTA ELIOSA SPA</t>
  </si>
  <si>
    <t>78172420-3</t>
  </si>
  <si>
    <t>76421320-3</t>
  </si>
  <si>
    <t>72499400-8</t>
  </si>
  <si>
    <t>76320355-7</t>
  </si>
  <si>
    <t>65081063-5</t>
  </si>
  <si>
    <t>76038017-2</t>
  </si>
  <si>
    <t>91366000-5</t>
  </si>
  <si>
    <t>76278370-3</t>
  </si>
  <si>
    <t>76379098-3</t>
  </si>
  <si>
    <t>76377454-6</t>
  </si>
  <si>
    <t>76376015-4</t>
  </si>
  <si>
    <t>77857775-5</t>
  </si>
  <si>
    <t>79773600-7</t>
  </si>
  <si>
    <t>76520087-3</t>
  </si>
  <si>
    <t>79687700-6</t>
  </si>
  <si>
    <t>84774400-6</t>
  </si>
  <si>
    <t>96722390-5</t>
  </si>
  <si>
    <t>76131270-7</t>
  </si>
  <si>
    <t>99563280-2</t>
  </si>
  <si>
    <t>ANUAL</t>
  </si>
  <si>
    <t>INMOBILIARIA SECURITY SA</t>
  </si>
  <si>
    <t>INMOBILIARIA SH UNO LIMITADA</t>
  </si>
  <si>
    <t>INMOBILIARIA SECURITY SIETE LIMITADA</t>
  </si>
  <si>
    <t>INMOBILIARIA SECURITY NUEVE SPA</t>
  </si>
  <si>
    <t>INMOBILIARIA SECURITY DIEZ LIMITADA</t>
  </si>
  <si>
    <t>INMOBILIARIA ALTO LO MATTA SPA</t>
  </si>
  <si>
    <t>INMOBILIARIA LOS ESPINOS SA</t>
  </si>
  <si>
    <t>INMOBILIARIA CORDILLERA SA</t>
  </si>
  <si>
    <t>INMOBILIARIA ÑUÑOA IV SA</t>
  </si>
  <si>
    <t>INMOBILIARIA SECURITY DOCE SA</t>
  </si>
  <si>
    <t>INMOBILIARIA SECURITY NORTE SA</t>
  </si>
  <si>
    <t>INMOBILIARIA SECURITY SAN DAMIÁN SA</t>
  </si>
  <si>
    <t>INMOBILIARIA ALTO SAN RAFAEL SA</t>
  </si>
  <si>
    <t>INMOBILIARIA ALTO CHAMISERO SA</t>
  </si>
  <si>
    <t>INMOBILIARIA EL TAIHUÉN SA</t>
  </si>
  <si>
    <t>INMOBILIARIA ALTO VITACURA SA</t>
  </si>
  <si>
    <t>INMOBILIARIA VISTA LA DEHESA SA</t>
  </si>
  <si>
    <t>INMOBILIARIA LOS DOMINICOS SPA</t>
  </si>
  <si>
    <t>INMOBILIARIA ÑUÑOA V SPA</t>
  </si>
  <si>
    <t>SANTA MARTA SPA</t>
  </si>
  <si>
    <t>INMOBILIARIA SECURITY ONCE SPA</t>
  </si>
  <si>
    <t>URBAN</t>
  </si>
  <si>
    <t>SOLINGEN</t>
  </si>
  <si>
    <t>TAGUA (MONICA SAR)</t>
  </si>
  <si>
    <t>IMAC</t>
  </si>
  <si>
    <t>SIMPLETECH</t>
  </si>
  <si>
    <t>SOC DE DESARROLLO TECNOLÓGICO DE LA USACH LTDA</t>
  </si>
  <si>
    <t>CAPACITACIÓN USACH CIA LTDA</t>
  </si>
  <si>
    <t>FUNDACIÓN PARA EL DESARROLLO DEL EMPRENDIMIENTO</t>
  </si>
  <si>
    <t>AG CERTIFICADORA DE COMPETENCIAS DE LA USACH LTDA</t>
  </si>
  <si>
    <t>FUNDACIÓN UNIVERSITARIA ESCUELA DE OFICIOS USACH</t>
  </si>
  <si>
    <t>ICABARU SA</t>
  </si>
  <si>
    <t>BLANCO FINANCIERO</t>
  </si>
  <si>
    <t>PLUSMEDICAL SPA</t>
  </si>
  <si>
    <t>LOS BOLDOS SPA</t>
  </si>
  <si>
    <t>RENTAS COX INGENIEROS LTDA</t>
  </si>
  <si>
    <t>EMPRESA COX INGENIEROS SA</t>
  </si>
  <si>
    <t>SECURITY SA</t>
  </si>
  <si>
    <t>RENTAS IGNACIO</t>
  </si>
  <si>
    <t>SH UNO</t>
  </si>
  <si>
    <t>LOS ESPINOS</t>
  </si>
  <si>
    <t>ÑUÑOA IV</t>
  </si>
  <si>
    <t>LOS DOMINICOS</t>
  </si>
  <si>
    <t>ÑUÑOA V</t>
  </si>
  <si>
    <t>SIETE</t>
  </si>
  <si>
    <t>NUEVE</t>
  </si>
  <si>
    <t>DIEZ</t>
  </si>
  <si>
    <t>LO MATTA</t>
  </si>
  <si>
    <t>CORDILLERA</t>
  </si>
  <si>
    <t>DOCE</t>
  </si>
  <si>
    <t>NORTE</t>
  </si>
  <si>
    <t>SAN DAMIAN</t>
  </si>
  <si>
    <t>SAN RAFAEL</t>
  </si>
  <si>
    <t>CHAMISERO</t>
  </si>
  <si>
    <t>TAIHUEN</t>
  </si>
  <si>
    <t>VITACURA</t>
  </si>
  <si>
    <t>LA DEHESA</t>
  </si>
  <si>
    <t>SANTA MARTA</t>
  </si>
  <si>
    <t>HIDROANGOL</t>
  </si>
  <si>
    <t>ONCE</t>
  </si>
  <si>
    <t>HIDROBONITO</t>
  </si>
  <si>
    <t>HIDROCALLAO</t>
  </si>
  <si>
    <t>HIDROENERSUR</t>
  </si>
  <si>
    <t>HIDROMOCHO</t>
  </si>
  <si>
    <t>HIDRONALCAS</t>
  </si>
  <si>
    <t>HIDROPALMAR</t>
  </si>
  <si>
    <t>FERRERO</t>
  </si>
  <si>
    <t>OFICIOS USACH</t>
  </si>
  <si>
    <t>SIED</t>
  </si>
  <si>
    <t>TORINO</t>
  </si>
  <si>
    <t>CUMBRES</t>
  </si>
  <si>
    <t>VITT</t>
  </si>
  <si>
    <t>TAGUA</t>
  </si>
  <si>
    <t>ICABARU</t>
  </si>
  <si>
    <t>BLANQUITA</t>
  </si>
  <si>
    <t>ANGUSMAR</t>
  </si>
  <si>
    <t>LAS CONDES</t>
  </si>
  <si>
    <t>AGRICOLA COVADONGA</t>
  </si>
  <si>
    <t>PLUSMEDICAL</t>
  </si>
  <si>
    <t>AGRICOLA Y COMERCIAL DEL MAR SPA</t>
  </si>
  <si>
    <t>LOS BOLDOS</t>
  </si>
  <si>
    <t>AGRICOLA EL CARMEN</t>
  </si>
  <si>
    <t>AGRICOLA LOMAS</t>
  </si>
  <si>
    <t>CAPACITACIÓN USACH</t>
  </si>
  <si>
    <t>RENTAS COX</t>
  </si>
  <si>
    <t>DON FERNANDO</t>
  </si>
  <si>
    <t>DESARROLLO USACH</t>
  </si>
  <si>
    <t>EMPRENDIMIENTO USACH</t>
  </si>
  <si>
    <t>COMPETENCIAS USACH</t>
  </si>
  <si>
    <t>VALLE ORIENTE</t>
  </si>
  <si>
    <t>COX INGENIEROS</t>
  </si>
  <si>
    <t>BHV</t>
  </si>
  <si>
    <t>AGROLIQUID</t>
  </si>
  <si>
    <t>URBAN DEVELOPMENT ASESORIAS LIMITADA</t>
  </si>
  <si>
    <t>MONICA SAHR C Y COMPANIA LIMITADA</t>
  </si>
  <si>
    <t>INVERSIONES MACDONALD FORD LIMITADA</t>
  </si>
  <si>
    <t>COMERCIALIZADORA SIMPLETECH LIMITADA</t>
  </si>
  <si>
    <t>SUBCENTRO LAS CONDES SA</t>
  </si>
  <si>
    <t>AGROMAR</t>
  </si>
  <si>
    <t>CARLOS ARA</t>
  </si>
  <si>
    <t>AZIMUT INVERSIONES LIMITADA</t>
  </si>
  <si>
    <t>SOC INMOBILIARIA DONA ANSELMA LTD</t>
  </si>
  <si>
    <t>INMOBILIARIA SOLINGEN SPA</t>
  </si>
  <si>
    <t>INVERSIONES ICABARU SA</t>
  </si>
  <si>
    <t>ASESORIAS E INVERSIONES MANCORA LIMITADA</t>
  </si>
  <si>
    <t>ASESORIAS E INVERSIONES EL ANGELUS LIMITADA</t>
  </si>
  <si>
    <t>BLANCO FINANCIERO SPA</t>
  </si>
  <si>
    <t>FORESTAL RECIMEX SA</t>
  </si>
  <si>
    <t>INVERSIONES OCTAEDRO SA</t>
  </si>
  <si>
    <t>AGRICOLA MONTE TAMAYA SA</t>
  </si>
  <si>
    <t>NA</t>
  </si>
  <si>
    <t>PATENTES / BALANCE ANUAL / TRÁMITES TRIBUTARIOS</t>
  </si>
  <si>
    <t>BALANCE ANUAL / TRÁMITES TRIBUTARIOS</t>
  </si>
  <si>
    <t>nataly.zelada@araybustamante.cl</t>
  </si>
  <si>
    <t>REPRESENTANTES LEGALES</t>
  </si>
  <si>
    <t>SOCIOS</t>
  </si>
  <si>
    <t>* BALANCE GENERAL
* LIBRO MAYOR
CARTOLAS DE INVERSIONES
* INFORME DE PRINCIPALES CUENTAS CONTABLES</t>
  </si>
  <si>
    <t>* CERTIFICADO DE PRESENTACIÓN DE RENTA</t>
  </si>
  <si>
    <t>RUT RELACIONADO</t>
  </si>
  <si>
    <t>SOCIEDAD CIVIL DE RENTAS EL ARCON S.C</t>
  </si>
  <si>
    <t>SOCIEDAD CIVIL DE RENTAS CADINI S.C</t>
  </si>
  <si>
    <t>SOCIEDAD CIVIL DE RENTAS IGNACIO S.C</t>
  </si>
  <si>
    <t>RUT</t>
  </si>
  <si>
    <t>RAFAEL HONORATO CARVAJAL CALDERON</t>
  </si>
  <si>
    <t>10062791-4</t>
  </si>
  <si>
    <t>MAX RONALD SCHMIDT SILVA</t>
  </si>
  <si>
    <t>10843798-7</t>
  </si>
  <si>
    <t>MARIA CECILIA MARTABIT BORGONO</t>
  </si>
  <si>
    <t>13334859-K</t>
  </si>
  <si>
    <t>DIEGO JOSE CROXATTO VIVIANI</t>
  </si>
  <si>
    <t>15783494-0</t>
  </si>
  <si>
    <t>RODRIGO ALEJANDRO GUZMAN LEYTON</t>
  </si>
  <si>
    <t>9423413-1</t>
  </si>
  <si>
    <t>JUAN PABLO COFRE DOUGNAC</t>
  </si>
  <si>
    <t>10672304-4</t>
  </si>
  <si>
    <t>MARIA VERONICA DUBLE BARAONA</t>
  </si>
  <si>
    <t>12454528-5</t>
  </si>
  <si>
    <t>MATIAS ROBERTO ZEIDAN MUSLEH</t>
  </si>
  <si>
    <t>13905155-6</t>
  </si>
  <si>
    <t>MARTA CALVO GARCIA</t>
  </si>
  <si>
    <t>24218771-7</t>
  </si>
  <si>
    <t>NVERSIONES PREVISION SECURITY LIMITADA</t>
  </si>
  <si>
    <t>78769870-0</t>
  </si>
  <si>
    <t>GRUPO SECURITY S A</t>
  </si>
  <si>
    <t>96604380-6</t>
  </si>
  <si>
    <t>INMOBILIARIA SECURITY S A</t>
  </si>
  <si>
    <t>ALEJANDRO JAVIER ALZERRECA LUNA</t>
  </si>
  <si>
    <t>7050344-1</t>
  </si>
  <si>
    <t>INMOBILIARIA SH UNO SPA</t>
  </si>
  <si>
    <t>MAURICIO LEVET ROJAS</t>
  </si>
  <si>
    <t>9875867-4</t>
  </si>
  <si>
    <t>SEGUROS VIDA SECURITY PREVISION S A</t>
  </si>
  <si>
    <t>99301000-6</t>
  </si>
  <si>
    <t>PATRICIO JOSE VICTOR DE GROOTE PEREZ</t>
  </si>
  <si>
    <t>4706241-1</t>
  </si>
  <si>
    <t>INMOBILIARIA DG CUATRO LIMITADA</t>
  </si>
  <si>
    <t>76149168-7</t>
  </si>
  <si>
    <t>FRANCO ACCHIARDO OLIVOS</t>
  </si>
  <si>
    <t>15643324-1</t>
  </si>
  <si>
    <t>INMOBILIARIA UNICA SPA</t>
  </si>
  <si>
    <t>76437805-9</t>
  </si>
  <si>
    <t>FRANCISCO ARMANDO SILVA SILVA</t>
  </si>
  <si>
    <t>4103061-5</t>
  </si>
  <si>
    <t>RENATO ARTURO PENAFIEL MUNOZ</t>
  </si>
  <si>
    <t>6350390-8</t>
  </si>
  <si>
    <t>ALVARO INIGUEZ BOSSOLA</t>
  </si>
  <si>
    <t>8249347-6</t>
  </si>
  <si>
    <t>ANDRES ALFONSO GARRIDO OSORIO</t>
  </si>
  <si>
    <t>7870205-2</t>
  </si>
  <si>
    <t>MARCELA SUSANA PEREZ MUNOZ</t>
  </si>
  <si>
    <t>10981982-4</t>
  </si>
  <si>
    <t>LUIS HUMBERTO GARRIDO AVILES</t>
  </si>
  <si>
    <t>3818843-7</t>
  </si>
  <si>
    <t>RODRIGO JAVIER SEOANE MAGNASCO</t>
  </si>
  <si>
    <t>9907736-0</t>
  </si>
  <si>
    <t>SILVIA CATERINA FERRERO</t>
  </si>
  <si>
    <t>25389578-0</t>
  </si>
  <si>
    <t>SIED CHILE SPA</t>
  </si>
  <si>
    <t>ENRICO GATTI SANI</t>
  </si>
  <si>
    <t>6199328-2</t>
  </si>
  <si>
    <t>LAURA ISABEL DE LOURDES SILVA ALIAGA</t>
  </si>
  <si>
    <t>10381119-8</t>
  </si>
  <si>
    <t>ROBINSON ARIEL PAZ GREZ</t>
  </si>
  <si>
    <t>14615270-8</t>
  </si>
  <si>
    <t>FERRERO CHILE SPA</t>
  </si>
  <si>
    <t>PAOLO SCOTTA</t>
  </si>
  <si>
    <t>22926238-6</t>
  </si>
  <si>
    <t>ANDREA COSTAMAGNA</t>
  </si>
  <si>
    <t>25289358-K</t>
  </si>
  <si>
    <t>HIDROAUSTRAL S.A</t>
  </si>
  <si>
    <t>76607770-6</t>
  </si>
  <si>
    <t>INTERCORP SPA</t>
  </si>
  <si>
    <t>76529900-4</t>
  </si>
  <si>
    <t>PAOLA FERRERO</t>
  </si>
  <si>
    <t>48113561-3</t>
  </si>
  <si>
    <t>GRUPPO FERRERO S.P.A.</t>
  </si>
  <si>
    <t>59134050-6</t>
  </si>
  <si>
    <t>VITTORIO MARCELLO CORBO URZUA</t>
  </si>
  <si>
    <t>7411181-5</t>
  </si>
  <si>
    <t>XIMENA VERONICA CORBO URZUA</t>
  </si>
  <si>
    <t>7411182-3</t>
  </si>
  <si>
    <t>MONICA LOUAN SAHR COCHRAN</t>
  </si>
  <si>
    <t>6069757-4</t>
  </si>
  <si>
    <t>RODRIGO JULLIAN POPE</t>
  </si>
  <si>
    <t>7522782-5</t>
  </si>
  <si>
    <t>ANGEL DELFIN MOLINA URRUTIA</t>
  </si>
  <si>
    <t>9708479-3</t>
  </si>
  <si>
    <t>GUSTAVO FABIAN MUNOZ SEPULVEDA</t>
  </si>
  <si>
    <t>12189830-6</t>
  </si>
  <si>
    <t>BROKERS CO. S.A.</t>
  </si>
  <si>
    <t>76078822-8</t>
  </si>
  <si>
    <t>INVERSIONES E INMOBILIARIA MOLINA Y GARCIA SPA</t>
  </si>
  <si>
    <t>76127913-0</t>
  </si>
  <si>
    <t>ASESORIAS E INVERSIONES LUCANO SPA</t>
  </si>
  <si>
    <t>76265140-8</t>
  </si>
  <si>
    <t>INVERSIONES MONEGLIA LTDA</t>
  </si>
  <si>
    <t>76841850-0</t>
  </si>
  <si>
    <t>VITTORIO CORBO Y ASOCIADOS LIMITADA</t>
  </si>
  <si>
    <t>78800490-7</t>
  </si>
  <si>
    <t>INVERSIONES TRONCOSO Y TRONCOSO LIMITADA</t>
  </si>
  <si>
    <t>78939270-6</t>
  </si>
  <si>
    <t>CLAUDIA PAZ ROMAGNOLI ESPINOSA</t>
  </si>
  <si>
    <t>10034075-5</t>
  </si>
  <si>
    <t>MARIA CRISTINA BETANCOUR MUNOZ</t>
  </si>
  <si>
    <t>10709643-4</t>
  </si>
  <si>
    <t>STEVEN ROBERT CHAFFIN</t>
  </si>
  <si>
    <t>48182887-2</t>
  </si>
  <si>
    <t>INVERSIONES E INMOBILIARIA BARRON S.A.</t>
  </si>
  <si>
    <t>52005195-3</t>
  </si>
  <si>
    <t>INVERSIONES CANNES S.A.</t>
  </si>
  <si>
    <t>76255459-3</t>
  </si>
  <si>
    <t>BARROS NEGROS INVERSIONES E INMOBILIARIA SPA</t>
  </si>
  <si>
    <t>76411117-6</t>
  </si>
  <si>
    <t>INVERSIONES TIMOTEO SPA</t>
  </si>
  <si>
    <t>76467178-3</t>
  </si>
  <si>
    <t>INVERSIONES ALSAN SPA</t>
  </si>
  <si>
    <t>76476690-3</t>
  </si>
  <si>
    <t>INVERSIONES DICO LIMITADA</t>
  </si>
  <si>
    <t>76476750-0</t>
  </si>
  <si>
    <t>MIGUEL MOLINARI INVERSIONES SPA</t>
  </si>
  <si>
    <t>76644850-K</t>
  </si>
  <si>
    <t>ASESORIAS SERVICIOS E INVERSIONES CANDELARIA SPA</t>
  </si>
  <si>
    <t>77466300-2</t>
  </si>
  <si>
    <t>INMOBILIARIA E INVERSIONES MACARO LTDA</t>
  </si>
  <si>
    <t>79917300-K</t>
  </si>
  <si>
    <t>XIMENA ADRIANA SILVA BEECHE</t>
  </si>
  <si>
    <t>5411619-5</t>
  </si>
  <si>
    <t>CHARLES JAMES KELMAN MACDONALD FORD</t>
  </si>
  <si>
    <t>8046063-5</t>
  </si>
  <si>
    <t>CLAUDIO ANTONIO O'RYAN MACKIEWICZ</t>
  </si>
  <si>
    <t>13657556-2</t>
  </si>
  <si>
    <t>INVERSIONES MAREVENTUS SPA</t>
  </si>
  <si>
    <t>77993087-4</t>
  </si>
  <si>
    <t>INVERSIONES DXB VIDEOTAPES LTDA</t>
  </si>
  <si>
    <t>76284660-8</t>
  </si>
  <si>
    <t>INVERSIONES CREATIVE LIMITADA</t>
  </si>
  <si>
    <t>76739680-5</t>
  </si>
  <si>
    <t>LEFKOWITZ HOLDINGS SPA</t>
  </si>
  <si>
    <t>76746106-2</t>
  </si>
  <si>
    <t>CANIO CORBO L ASESORIAS E INVERSIONES LIMITADA</t>
  </si>
  <si>
    <t>77661370-3</t>
  </si>
  <si>
    <t>INMOBILIARIA Y TRANSPORTE NAUTICO ALFA OMEGA LIMITADA</t>
  </si>
  <si>
    <t>78780440-3</t>
  </si>
  <si>
    <t>IGNACIO JOSE ALLENDE CRUZ</t>
  </si>
  <si>
    <t>16099794-K</t>
  </si>
  <si>
    <t>ADE INVERSIONES AGRICOLAS LIMITADA</t>
  </si>
  <si>
    <t>77328979-4</t>
  </si>
  <si>
    <t>RENTAS E INVERSIONES ADE LTDA</t>
  </si>
  <si>
    <t>79979130-7</t>
  </si>
  <si>
    <t>PAULINA DECOMBE VILLALOBOS</t>
  </si>
  <si>
    <t>3097650-9</t>
  </si>
  <si>
    <t>PEDRO TOMAS ALLENDE GONZALEZ</t>
  </si>
  <si>
    <t>3400201-0</t>
  </si>
  <si>
    <t>PATRICIO ANDRES ALLENDE DECOMBE</t>
  </si>
  <si>
    <t>7032530-6</t>
  </si>
  <si>
    <t>PEDRO TOMAS ALLENDE DECOMBE</t>
  </si>
  <si>
    <t>7003444-1</t>
  </si>
  <si>
    <t>RENTAS PUCALAN LTDA</t>
  </si>
  <si>
    <t>78220910-8</t>
  </si>
  <si>
    <t>NVERSIONES CERRO LA CAMPANA LIMITADA</t>
  </si>
  <si>
    <t>79868170-2</t>
  </si>
  <si>
    <t>SAMUEL DE LOURDES NAVARRO HERNANDEZ</t>
  </si>
  <si>
    <t>5830716-5</t>
  </si>
  <si>
    <t>UNIVERSIDAD DE SANTIAGO DE CHILE</t>
  </si>
  <si>
    <t>60911000-7</t>
  </si>
  <si>
    <t>FUND PARA EL FUNCIONAM DESARROLLO Y PROM</t>
  </si>
  <si>
    <t>71250500-1</t>
  </si>
  <si>
    <t>SOC DE DESARROLLO TECNOLOGICO DE LA U DE SANTIAGO DE CHILE LTDA</t>
  </si>
  <si>
    <t>PEDRO PABLO VICTOR VERGARA BAEZA</t>
  </si>
  <si>
    <t>4950956-1</t>
  </si>
  <si>
    <t>JOSE FRANCISCO VERGARA BAEZA</t>
  </si>
  <si>
    <t>6001418-3</t>
  </si>
  <si>
    <t>FELIPE DALGALARRANDO HARITCALDE</t>
  </si>
  <si>
    <t>9383689-8</t>
  </si>
  <si>
    <t>MARIA ISABEL RAMIREZ PLATINI</t>
  </si>
  <si>
    <t>5471619-2</t>
  </si>
  <si>
    <t>VALLE ORIENTE CORP</t>
  </si>
  <si>
    <t>59144940-0</t>
  </si>
  <si>
    <t>MARIA TERESA SEPULVEDA EDWARDS</t>
  </si>
  <si>
    <t>5849823-8</t>
  </si>
  <si>
    <t>CAMILA VERGARA GONZALEZ</t>
  </si>
  <si>
    <t>10773524-0</t>
  </si>
  <si>
    <t>PEDRO PABLO VERGARA GONZALEZ</t>
  </si>
  <si>
    <t>10773525-9</t>
  </si>
  <si>
    <t>JOSE IGNACIO HORTAL VERGARA</t>
  </si>
  <si>
    <t>6374701-7</t>
  </si>
  <si>
    <t>MARIA EUGENIA FONTANET MINGO</t>
  </si>
  <si>
    <t>7002730-5</t>
  </si>
  <si>
    <t>JOSE IGNACIO HORTAL FONTANET</t>
  </si>
  <si>
    <t>16608276-5</t>
  </si>
  <si>
    <t>JOSE TOMAS HORTAL FONTANET</t>
  </si>
  <si>
    <t>17403702-7</t>
  </si>
  <si>
    <t>JOSEFINA HORTAL FONTANET</t>
  </si>
  <si>
    <t>18021538-7</t>
  </si>
  <si>
    <t>MARIA ISIDORA HORTAL FONTANET</t>
  </si>
  <si>
    <t>19245805-6</t>
  </si>
  <si>
    <t>VALENTINA HORTAL FONTANET</t>
  </si>
  <si>
    <t>21483297-6</t>
  </si>
  <si>
    <t>ANDRES HORTAL VERGARA</t>
  </si>
  <si>
    <t>6374702-5</t>
  </si>
  <si>
    <t>NVERSIONES EL MALLIN LIMITADA</t>
  </si>
  <si>
    <t>76010042-0</t>
  </si>
  <si>
    <t>INMOBILIARIA VALLE ORIENTE LIMITADA</t>
  </si>
  <si>
    <t>INVERSIONES CYD</t>
  </si>
  <si>
    <t>76125237-2</t>
  </si>
  <si>
    <t>BH INVERSIONES SPA</t>
  </si>
  <si>
    <t>76377442-2</t>
  </si>
  <si>
    <t>INVERSIONES LADY WOOD LIMITADA</t>
  </si>
  <si>
    <t>76379034-7</t>
  </si>
  <si>
    <t>JDV CAPITAL SPA</t>
  </si>
  <si>
    <t>76863166-2</t>
  </si>
  <si>
    <t>INVERSIONES ICABARU S A</t>
  </si>
  <si>
    <t>PAULINA ANDREA PEREZ NAVARRO</t>
  </si>
  <si>
    <t>7429239-9</t>
  </si>
  <si>
    <t>EDUARDO GUERRA VERGARA</t>
  </si>
  <si>
    <t>7037698-9</t>
  </si>
  <si>
    <t>EDUARDO FELIPE GUERRA PEREZ</t>
  </si>
  <si>
    <t>18933145-2</t>
  </si>
  <si>
    <t>CRISTOBAL ALONSO CONTRERAS BECERRA</t>
  </si>
  <si>
    <t>18295074-2</t>
  </si>
  <si>
    <t>ASESORIAS E INVERSIONES LA LOICA LIMITADA</t>
  </si>
  <si>
    <t>76247012-8</t>
  </si>
  <si>
    <t>INDOMITO SPA</t>
  </si>
  <si>
    <t>77851478-8</t>
  </si>
  <si>
    <t>JUAN PABLO FONTANET MINGO</t>
  </si>
  <si>
    <t>7002349-0</t>
  </si>
  <si>
    <t>MARIA CECILIA JACQUELINE FONTANET MINGO</t>
  </si>
  <si>
    <t>7002729-1</t>
  </si>
  <si>
    <t>MARIA ANDREA GEMMITA FONTANET MINGO</t>
  </si>
  <si>
    <t>7002731-3</t>
  </si>
  <si>
    <t>JAIRO ANTONIO TOLEDO MORALES</t>
  </si>
  <si>
    <t>16675878-5</t>
  </si>
  <si>
    <t>DANIEL FELIPE PLATOVSKY MINGO</t>
  </si>
  <si>
    <t>17083192-6</t>
  </si>
  <si>
    <t>TATA SPA</t>
  </si>
  <si>
    <t>76432935-K</t>
  </si>
  <si>
    <t>SANTA FABRIZIA SPA</t>
  </si>
  <si>
    <t>76494740-1</t>
  </si>
  <si>
    <t>INVERSIONES PATRIAN LTDA</t>
  </si>
  <si>
    <t>78166650-5</t>
  </si>
  <si>
    <t>JUAN EDUARDO COX VIAL</t>
  </si>
  <si>
    <t>7033653-7</t>
  </si>
  <si>
    <t>JOSE EUGENIO COX VIAL</t>
  </si>
  <si>
    <t>7033655-3</t>
  </si>
  <si>
    <t>CARLOS CRISTIAN COX VIAL</t>
  </si>
  <si>
    <t>7033709-6</t>
  </si>
  <si>
    <t>COX INGENIEROS SPA</t>
  </si>
  <si>
    <t>96518450-3</t>
  </si>
  <si>
    <t>EMPRESA COX INGENIEROS S A</t>
  </si>
  <si>
    <t>PATRICIO COX URREJOLA</t>
  </si>
  <si>
    <t>1856804-7</t>
  </si>
  <si>
    <t>PATRICIO COX VIAL</t>
  </si>
  <si>
    <t>6061181-5</t>
  </si>
  <si>
    <t>ISABEL MARGARITA COX VIAL</t>
  </si>
  <si>
    <t>6378276-9</t>
  </si>
  <si>
    <t>MARIA DEL PILAR COX VIAL</t>
  </si>
  <si>
    <t>7033535-2</t>
  </si>
  <si>
    <t>MAUREEN XIMENA COX VIAL</t>
  </si>
  <si>
    <t>7033537-9</t>
  </si>
  <si>
    <t>MARCELO COX VIAL</t>
  </si>
  <si>
    <t>7033656-1</t>
  </si>
  <si>
    <t>MARIA LORETO COX VIAL</t>
  </si>
  <si>
    <t>7033699-5</t>
  </si>
  <si>
    <t>ADMINISTRADORA COX INGENIEROS LIMITADA</t>
  </si>
  <si>
    <t>76131200-6</t>
  </si>
  <si>
    <t>RENTAS COX INGENIEROS LIMITADA</t>
  </si>
  <si>
    <t>PERSONA JURIDICA</t>
  </si>
  <si>
    <t>FECHA NACIMIENTO</t>
  </si>
  <si>
    <t>NACIONALIDAD</t>
  </si>
  <si>
    <t>FECHA INGRESO COMO CLIENTE</t>
  </si>
  <si>
    <t>TELÉFONO MOVIL</t>
  </si>
  <si>
    <t>DIRECCIÓN PARTICULAR</t>
  </si>
  <si>
    <t>CORREO ELECTRÓNICO TRABAJO</t>
  </si>
  <si>
    <t>CORREO ELECTRÓNICO PERSONAL</t>
  </si>
  <si>
    <t>PROFESIÓN</t>
  </si>
  <si>
    <t>NOMBRE</t>
  </si>
  <si>
    <t>N° BIENES RAICES PERSONALES</t>
  </si>
  <si>
    <t>POSEE INVERSIONES PERSONALES</t>
  </si>
  <si>
    <t>SI/NO</t>
  </si>
  <si>
    <t>CANTIDAD</t>
  </si>
  <si>
    <t>FORMULARIO PERSONAS NATURALES QUE HAN RECIBO SERVICIOS EN AYB</t>
  </si>
  <si>
    <t>CAMPOS FORMULARIO</t>
  </si>
  <si>
    <t>DESCRIPCIÓN CAMPO</t>
  </si>
  <si>
    <t>LIBRE</t>
  </si>
  <si>
    <t>RUT SIN PUNTOS Y GUIÓN</t>
  </si>
  <si>
    <t>INCLUIR +569</t>
  </si>
  <si>
    <t>FECHA DD/MM/AAAA</t>
  </si>
  <si>
    <t>OBLIGATORIO</t>
  </si>
  <si>
    <t>OPCIONAL</t>
  </si>
  <si>
    <t>POSEE INVERSIONES EN EL EXTRANJERO</t>
  </si>
  <si>
    <t>CÓMO LLEGÓ A AYB</t>
  </si>
  <si>
    <t>OBLIGATORIEDAD</t>
  </si>
  <si>
    <t>NOTA: ESTE FORMULARIO SERÁ ENVIADO PARA LA BASE DE "RELACIONADAS" SOLO PARA PERSONAS NATURALES.</t>
  </si>
  <si>
    <t>VIGENCIA BD AYB</t>
  </si>
  <si>
    <t>DOMICILIO TRIBUTARIO SII</t>
  </si>
  <si>
    <t>COMUNA PARA TRAMITE PATENTES</t>
  </si>
  <si>
    <t>REGIMEN TRIBUTARIO</t>
  </si>
  <si>
    <t>TAMAÑO EMPRESA (DEFINIR TIPO DE DJS )</t>
  </si>
  <si>
    <t>FECHA INICIO DE ACTIVIDADES</t>
  </si>
  <si>
    <t>FECHA DE TERMINO DE GIRO</t>
  </si>
  <si>
    <t>CLAVE TRIBUTARIA (EMPRESA Y PERSONA NATURAL)</t>
  </si>
  <si>
    <t>CLAVE UNICA (PERSONA NATURAL)</t>
  </si>
  <si>
    <t>EMPRESAS QUE LLEVAN CONTABILIDAD EN MONEDA EXTRANJERA</t>
  </si>
  <si>
    <t>EMPRESAS QUE PRESENTAN FORMULARIO 22 EN MONEDA EXTRANJERA</t>
  </si>
  <si>
    <t>REALIZA PAGOS AL EXTERIOR</t>
  </si>
  <si>
    <t>EMPRESAS QUE TIENEN SERVICIO DE REMUNERACIONES</t>
  </si>
  <si>
    <t>CON CUANTAS CORREDORAS OPERA</t>
  </si>
  <si>
    <t>REGISTRA SOCIOS NO RESIDENTES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</si>
</sst>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1" fillId="0" borderId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wrapText="1"/>
    </xf>
    <xf numFmtId="0" fontId="4" fillId="3" borderId="0" xfId="0" applyFont="1" applyFill="1"/>
    <xf numFmtId="10" fontId="4" fillId="3" borderId="0" xfId="1" applyNumberFormat="1" applyFont="1" applyFill="1"/>
    <xf numFmtId="0" fontId="4" fillId="3" borderId="0" xfId="0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2" borderId="0" xfId="2" applyFill="1" applyBorder="1"/>
    <xf numFmtId="0" fontId="6" fillId="2" borderId="0" xfId="0" applyFont="1" applyFill="1"/>
    <xf numFmtId="10" fontId="0" fillId="2" borderId="0" xfId="1" applyNumberFormat="1" applyFont="1" applyFill="1"/>
    <xf numFmtId="14" fontId="0" fillId="2" borderId="0" xfId="0" applyNumberFormat="1" applyFill="1"/>
  </cellXfs>
  <cellStyles count="5">
    <cellStyle name="Hipervínculo" xfId="2" builtinId="8"/>
    <cellStyle name="Normal" xfId="0" builtinId="0"/>
    <cellStyle name="Normal 2" xfId="4" xr:uid="{F1456799-0A2D-4838-A4EE-03CC2B691230}"/>
    <cellStyle name="Normal 3" xfId="3" xr:uid="{A99FB05C-6272-453F-8F66-A3E15A23C32C}"/>
    <cellStyle name="Porcentaje" xfId="1" builtinId="5"/>
  </cellStyles>
  <dxfs count="0"/>
  <tableStyles count="0" defaultTableStyle="TableStyleMedium2" defaultPivotStyle="PivotStyleLight16"/>
  <colors>
    <mruColors>
      <color rgb="FFD7EFF9"/>
      <color rgb="FFD7F5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ssandra Reyes" id="{6621CD9D-3EFB-48DD-B4D2-1A1C4C379D4C}" userId="542ac64bdfad1a6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5-07-25T14:29:14.26" personId="{6621CD9D-3EFB-48DD-B4D2-1A1C4C379D4C}" id="{D98C8D1F-EB3F-4726-B56A-B8A9DFF91127}">
    <text>En caso de ser extraordinario, se detallará que tipo de servicio se le entregará.</text>
  </threadedComment>
  <threadedComment ref="D35" dT="2025-07-25T19:14:02.12" personId="{6621CD9D-3EFB-48DD-B4D2-1A1C4C379D4C}" id="{165C7BD6-B035-485F-B84F-BC1750D9E434}" done="1">
    <text>DÓLARES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.arag@araybustamante.cl" TargetMode="External"/><Relationship Id="rId13" Type="http://schemas.openxmlformats.org/officeDocument/2006/relationships/hyperlink" Target="mailto:carlos.arag@araybustamante.cl" TargetMode="External"/><Relationship Id="rId3" Type="http://schemas.openxmlformats.org/officeDocument/2006/relationships/hyperlink" Target="mailto:carlos.arag@araybustamante.cl" TargetMode="External"/><Relationship Id="rId7" Type="http://schemas.openxmlformats.org/officeDocument/2006/relationships/hyperlink" Target="mailto:carlos.arag@araybustamante.cl" TargetMode="External"/><Relationship Id="rId12" Type="http://schemas.openxmlformats.org/officeDocument/2006/relationships/hyperlink" Target="mailto:anamaria.acevedo@araybustamante.cl" TargetMode="External"/><Relationship Id="rId17" Type="http://schemas.microsoft.com/office/2017/10/relationships/threadedComment" Target="../threadedComments/threadedComment1.xml"/><Relationship Id="rId2" Type="http://schemas.openxmlformats.org/officeDocument/2006/relationships/hyperlink" Target="mailto:anamaria.acevedo@araybustamante.cl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carlos.arag@araybustamante.cl" TargetMode="External"/><Relationship Id="rId6" Type="http://schemas.openxmlformats.org/officeDocument/2006/relationships/hyperlink" Target="mailto:carlos.arag@araybustamante.cl" TargetMode="External"/><Relationship Id="rId11" Type="http://schemas.openxmlformats.org/officeDocument/2006/relationships/hyperlink" Target="mailto:carlos.arag@araybustamante.cl" TargetMode="External"/><Relationship Id="rId5" Type="http://schemas.openxmlformats.org/officeDocument/2006/relationships/hyperlink" Target="mailto:carlos.arag@araybustamante.cl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carlos.arag@araybustamante.cl" TargetMode="External"/><Relationship Id="rId4" Type="http://schemas.openxmlformats.org/officeDocument/2006/relationships/hyperlink" Target="mailto:carlos.arag@araybustamante.cl" TargetMode="External"/><Relationship Id="rId9" Type="http://schemas.openxmlformats.org/officeDocument/2006/relationships/hyperlink" Target="mailto:carlos.arag@araybustamante.c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E8B3-53BE-40FD-B1F9-CEF8394651FF}">
  <sheetPr>
    <tabColor rgb="FFFF0000"/>
  </sheetPr>
  <dimension ref="A1:U132"/>
  <sheetViews>
    <sheetView tabSelected="1" zoomScaleNormal="100" workbookViewId="0">
      <pane xSplit="4" ySplit="1" topLeftCell="T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19" defaultRowHeight="15" x14ac:dyDescent="0.25"/>
  <cols>
    <col min="1" max="1" width="9.5703125" style="1" customWidth="1"/>
    <col min="2" max="2" width="27.5703125" style="1" bestFit="1" customWidth="1"/>
    <col min="3" max="3" width="10.140625" style="1" bestFit="1" customWidth="1"/>
    <col min="4" max="4" width="59.42578125" style="1" bestFit="1" customWidth="1"/>
    <col min="5" max="5" width="36" style="1" bestFit="1" customWidth="1"/>
    <col min="6" max="6" width="14.140625" style="1" bestFit="1" customWidth="1"/>
    <col min="7" max="7" width="14.140625" style="1" customWidth="1"/>
    <col min="8" max="8" width="17.85546875" style="1" customWidth="1"/>
    <col min="9" max="9" width="14.140625" style="1" customWidth="1"/>
    <col min="10" max="12" width="19" style="1"/>
    <col min="13" max="13" width="37.140625" style="1" bestFit="1" customWidth="1"/>
    <col min="14" max="14" width="19" style="1"/>
    <col min="15" max="15" width="24.5703125" style="1" bestFit="1" customWidth="1"/>
    <col min="16" max="17" width="35.42578125" style="1" bestFit="1" customWidth="1"/>
    <col min="18" max="18" width="29" style="1" bestFit="1" customWidth="1"/>
    <col min="19" max="20" width="42.5703125" style="1" customWidth="1"/>
    <col min="21" max="16384" width="19" style="1"/>
  </cols>
  <sheetData>
    <row r="1" spans="1:21" s="8" customFormat="1" ht="30" x14ac:dyDescent="0.25">
      <c r="A1" s="6" t="s">
        <v>243</v>
      </c>
      <c r="B1" s="6" t="s">
        <v>0</v>
      </c>
      <c r="C1" s="7" t="s">
        <v>244</v>
      </c>
      <c r="D1" s="6" t="s">
        <v>1</v>
      </c>
      <c r="E1" s="6" t="s">
        <v>83</v>
      </c>
      <c r="F1" s="6" t="s">
        <v>3</v>
      </c>
      <c r="G1" s="6"/>
      <c r="H1" s="6" t="s">
        <v>827</v>
      </c>
      <c r="I1" s="6" t="s">
        <v>828</v>
      </c>
      <c r="J1" s="6" t="s">
        <v>6</v>
      </c>
      <c r="K1" s="6" t="s">
        <v>7</v>
      </c>
      <c r="L1" s="6" t="s">
        <v>9</v>
      </c>
      <c r="M1" s="6" t="s">
        <v>8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52</v>
      </c>
      <c r="T1" s="6" t="s">
        <v>53</v>
      </c>
      <c r="U1" s="6" t="s">
        <v>1126</v>
      </c>
    </row>
    <row r="2" spans="1:21" ht="16.5" customHeight="1" x14ac:dyDescent="0.25">
      <c r="A2" s="1">
        <v>1</v>
      </c>
      <c r="B2" s="1" t="s">
        <v>15</v>
      </c>
      <c r="C2" s="1">
        <v>1</v>
      </c>
      <c r="D2" s="1" t="s">
        <v>16</v>
      </c>
      <c r="E2" s="1" t="s">
        <v>41</v>
      </c>
      <c r="F2" s="1" t="s">
        <v>559</v>
      </c>
      <c r="G2" s="1" t="str">
        <f>D2</f>
        <v>RENTAS LEXCORP LIMITADA</v>
      </c>
      <c r="H2" s="1">
        <f>COUNTIFS(RELACIONADAS!$C:$C,CLIENTES!$F2,RELACIONADAS!$G:$G,"SI")</f>
        <v>1</v>
      </c>
      <c r="I2" s="1">
        <f>COUNTIFS(RELACIONADAS!$C:$C,CLIENTES!$F2,RELACIONADAS!$H:$H,"SI")</f>
        <v>3</v>
      </c>
      <c r="J2" s="1" t="s">
        <v>22</v>
      </c>
      <c r="K2" s="1" t="s">
        <v>27</v>
      </c>
      <c r="L2" s="1" t="s">
        <v>823</v>
      </c>
      <c r="M2" s="1" t="s">
        <v>34</v>
      </c>
      <c r="N2" s="1" t="s">
        <v>33</v>
      </c>
      <c r="O2" s="1" t="s">
        <v>36</v>
      </c>
      <c r="P2" s="9" t="s">
        <v>38</v>
      </c>
      <c r="Q2" s="9" t="s">
        <v>38</v>
      </c>
      <c r="R2" s="9" t="s">
        <v>39</v>
      </c>
      <c r="S2" s="1" t="s">
        <v>55</v>
      </c>
      <c r="T2" s="1" t="s">
        <v>58</v>
      </c>
      <c r="U2" s="12">
        <v>45869</v>
      </c>
    </row>
    <row r="3" spans="1:21" ht="13.7" customHeight="1" x14ac:dyDescent="0.25">
      <c r="A3" s="1">
        <v>1</v>
      </c>
      <c r="B3" s="1" t="s">
        <v>15</v>
      </c>
      <c r="C3" s="1">
        <v>2</v>
      </c>
      <c r="D3" s="1" t="s">
        <v>20</v>
      </c>
      <c r="E3" s="1" t="s">
        <v>42</v>
      </c>
      <c r="F3" s="1" t="s">
        <v>560</v>
      </c>
      <c r="G3" s="1" t="str">
        <f t="shared" ref="G3:G66" si="0">D3</f>
        <v>SOCIEDAS CIVIL DE RENTAS LA PASTORA S.C</v>
      </c>
      <c r="H3" s="1">
        <f>COUNTIFS(RELACIONADAS!$C:$C,CLIENTES!$F3,RELACIONADAS!$G:$G,"SI")</f>
        <v>2</v>
      </c>
      <c r="I3" s="1">
        <f>COUNTIFS(RELACIONADAS!$C:$C,CLIENTES!$F3,RELACIONADAS!$H:$H,"SI")</f>
        <v>6</v>
      </c>
      <c r="J3" s="1" t="s">
        <v>22</v>
      </c>
      <c r="K3" s="1" t="s">
        <v>27</v>
      </c>
      <c r="L3" s="1" t="s">
        <v>823</v>
      </c>
      <c r="M3" s="1" t="s">
        <v>34</v>
      </c>
      <c r="N3" s="1" t="s">
        <v>33</v>
      </c>
      <c r="O3" s="1" t="s">
        <v>36</v>
      </c>
      <c r="P3" s="9" t="s">
        <v>38</v>
      </c>
      <c r="Q3" s="9" t="s">
        <v>38</v>
      </c>
      <c r="R3" s="9" t="s">
        <v>39</v>
      </c>
      <c r="S3" s="1" t="s">
        <v>55</v>
      </c>
      <c r="T3" s="1" t="s">
        <v>58</v>
      </c>
      <c r="U3" s="12">
        <v>45869</v>
      </c>
    </row>
    <row r="4" spans="1:21" x14ac:dyDescent="0.25">
      <c r="A4" s="1">
        <v>1</v>
      </c>
      <c r="B4" s="1" t="s">
        <v>15</v>
      </c>
      <c r="C4" s="1">
        <v>3</v>
      </c>
      <c r="D4" s="1" t="s">
        <v>21</v>
      </c>
      <c r="E4" s="1" t="s">
        <v>59</v>
      </c>
      <c r="F4" s="1" t="s">
        <v>140</v>
      </c>
      <c r="G4" s="1" t="str">
        <f t="shared" si="0"/>
        <v>INVERSIONES RODAS DE BAHIA LIMITADA</v>
      </c>
      <c r="H4" s="1">
        <f>COUNTIFS(RELACIONADAS!$C:$C,CLIENTES!$F4,RELACIONADAS!$G:$G,"SI")</f>
        <v>1</v>
      </c>
      <c r="I4" s="1">
        <f>COUNTIFS(RELACIONADAS!$C:$C,CLIENTES!$F4,RELACIONADAS!$H:$H,"SI")</f>
        <v>8</v>
      </c>
      <c r="J4" s="1" t="s">
        <v>22</v>
      </c>
      <c r="K4" s="1" t="s">
        <v>27</v>
      </c>
      <c r="L4" s="1" t="s">
        <v>823</v>
      </c>
      <c r="M4" s="1" t="s">
        <v>34</v>
      </c>
      <c r="N4" s="1" t="s">
        <v>31</v>
      </c>
      <c r="O4" s="1" t="s">
        <v>36</v>
      </c>
      <c r="P4" s="9" t="s">
        <v>38</v>
      </c>
      <c r="Q4" s="9" t="s">
        <v>38</v>
      </c>
      <c r="R4" s="9" t="s">
        <v>39</v>
      </c>
      <c r="S4" s="1" t="s">
        <v>55</v>
      </c>
      <c r="T4" s="1" t="s">
        <v>58</v>
      </c>
      <c r="U4" s="12">
        <v>45869</v>
      </c>
    </row>
    <row r="5" spans="1:21" x14ac:dyDescent="0.25">
      <c r="A5" s="1">
        <v>1</v>
      </c>
      <c r="B5" s="1" t="s">
        <v>15</v>
      </c>
      <c r="C5" s="1">
        <v>4</v>
      </c>
      <c r="D5" s="1" t="s">
        <v>40</v>
      </c>
      <c r="E5" s="1" t="s">
        <v>92</v>
      </c>
      <c r="F5" s="1" t="s">
        <v>561</v>
      </c>
      <c r="G5" s="1" t="str">
        <f t="shared" si="0"/>
        <v>RENTAS LA LLAVERIA LIMITADA</v>
      </c>
      <c r="H5" s="1">
        <f>COUNTIFS(RELACIONADAS!$C:$C,CLIENTES!$F5,RELACIONADAS!$G:$G,"SI")</f>
        <v>2</v>
      </c>
      <c r="I5" s="1">
        <f>COUNTIFS(RELACIONADAS!$C:$C,CLIENTES!$F5,RELACIONADAS!$H:$H,"SI")</f>
        <v>2</v>
      </c>
      <c r="J5" s="1" t="s">
        <v>22</v>
      </c>
      <c r="K5" s="1" t="s">
        <v>27</v>
      </c>
      <c r="L5" s="1" t="s">
        <v>823</v>
      </c>
      <c r="M5" s="1" t="s">
        <v>34</v>
      </c>
      <c r="N5" s="1" t="s">
        <v>31</v>
      </c>
      <c r="O5" s="1" t="s">
        <v>36</v>
      </c>
      <c r="P5" s="9" t="s">
        <v>38</v>
      </c>
      <c r="Q5" s="9" t="s">
        <v>38</v>
      </c>
      <c r="R5" s="9" t="s">
        <v>39</v>
      </c>
      <c r="S5" s="1" t="s">
        <v>55</v>
      </c>
      <c r="T5" s="1" t="s">
        <v>58</v>
      </c>
      <c r="U5" s="12">
        <v>45869</v>
      </c>
    </row>
    <row r="6" spans="1:21" x14ac:dyDescent="0.25">
      <c r="A6" s="1">
        <v>1</v>
      </c>
      <c r="B6" s="1" t="s">
        <v>15</v>
      </c>
      <c r="C6" s="1">
        <v>5</v>
      </c>
      <c r="D6" s="1" t="s">
        <v>78</v>
      </c>
      <c r="E6" s="1" t="s">
        <v>79</v>
      </c>
      <c r="F6" s="1" t="s">
        <v>562</v>
      </c>
      <c r="G6" s="1" t="str">
        <f t="shared" si="0"/>
        <v>RENTAS ALPER LIMITADA</v>
      </c>
      <c r="H6" s="1">
        <f>COUNTIFS(RELACIONADAS!$C:$C,CLIENTES!$F6,RELACIONADAS!$G:$G,"SI")</f>
        <v>2</v>
      </c>
      <c r="I6" s="1">
        <f>COUNTIFS(RELACIONADAS!$C:$C,CLIENTES!$F6,RELACIONADAS!$H:$H,"SI")</f>
        <v>7</v>
      </c>
      <c r="J6" s="1" t="s">
        <v>22</v>
      </c>
      <c r="K6" s="1" t="s">
        <v>27</v>
      </c>
      <c r="L6" s="1" t="s">
        <v>823</v>
      </c>
      <c r="M6" s="1" t="s">
        <v>34</v>
      </c>
      <c r="N6" s="1" t="s">
        <v>33</v>
      </c>
      <c r="O6" s="1" t="s">
        <v>36</v>
      </c>
      <c r="P6" s="9" t="s">
        <v>38</v>
      </c>
      <c r="Q6" s="9" t="s">
        <v>38</v>
      </c>
      <c r="R6" s="9" t="s">
        <v>39</v>
      </c>
      <c r="S6" s="1" t="s">
        <v>55</v>
      </c>
      <c r="T6" s="1" t="s">
        <v>58</v>
      </c>
      <c r="U6" s="12">
        <v>45869</v>
      </c>
    </row>
    <row r="7" spans="1:21" x14ac:dyDescent="0.25">
      <c r="A7" s="1">
        <v>1</v>
      </c>
      <c r="B7" s="1" t="s">
        <v>15</v>
      </c>
      <c r="C7" s="1">
        <v>6</v>
      </c>
      <c r="D7" s="1" t="s">
        <v>832</v>
      </c>
      <c r="E7" s="1" t="s">
        <v>82</v>
      </c>
      <c r="F7" s="1" t="s">
        <v>563</v>
      </c>
      <c r="G7" s="1" t="str">
        <f t="shared" si="0"/>
        <v>SOCIEDAD CIVIL DE RENTAS EL ARCON S.C</v>
      </c>
      <c r="H7" s="1">
        <f>COUNTIFS(RELACIONADAS!$C:$C,CLIENTES!$F7,RELACIONADAS!$G:$G,"SI")</f>
        <v>1</v>
      </c>
      <c r="I7" s="1">
        <f>COUNTIFS(RELACIONADAS!$C:$C,CLIENTES!$F7,RELACIONADAS!$H:$H,"SI")</f>
        <v>3</v>
      </c>
      <c r="J7" s="1" t="s">
        <v>22</v>
      </c>
      <c r="K7" s="1" t="s">
        <v>27</v>
      </c>
      <c r="L7" s="1" t="s">
        <v>823</v>
      </c>
      <c r="M7" s="1" t="s">
        <v>34</v>
      </c>
      <c r="N7" s="1" t="s">
        <v>33</v>
      </c>
      <c r="O7" s="1" t="s">
        <v>36</v>
      </c>
      <c r="P7" s="9" t="s">
        <v>38</v>
      </c>
      <c r="Q7" s="9" t="s">
        <v>38</v>
      </c>
      <c r="R7" s="9" t="s">
        <v>39</v>
      </c>
      <c r="S7" s="1" t="s">
        <v>55</v>
      </c>
      <c r="T7" s="1" t="s">
        <v>58</v>
      </c>
      <c r="U7" s="12">
        <v>45869</v>
      </c>
    </row>
    <row r="8" spans="1:21" x14ac:dyDescent="0.25">
      <c r="A8" s="1">
        <v>1</v>
      </c>
      <c r="B8" s="1" t="s">
        <v>15</v>
      </c>
      <c r="C8" s="1">
        <v>7</v>
      </c>
      <c r="D8" s="1" t="s">
        <v>48</v>
      </c>
      <c r="E8" s="1" t="s">
        <v>93</v>
      </c>
      <c r="F8" s="1" t="s">
        <v>564</v>
      </c>
      <c r="G8" s="1" t="str">
        <f t="shared" si="0"/>
        <v>RENTAS E INVERSIONES MONTREAL LIMITADA</v>
      </c>
      <c r="H8" s="1">
        <f>COUNTIFS(RELACIONADAS!$C:$C,CLIENTES!$F8,RELACIONADAS!$G:$G,"SI")</f>
        <v>2</v>
      </c>
      <c r="I8" s="1">
        <f>COUNTIFS(RELACIONADAS!$C:$C,CLIENTES!$F8,RELACIONADAS!$H:$H,"SI")</f>
        <v>2</v>
      </c>
      <c r="J8" s="1" t="s">
        <v>22</v>
      </c>
      <c r="K8" s="1" t="s">
        <v>27</v>
      </c>
      <c r="L8" s="1" t="s">
        <v>823</v>
      </c>
      <c r="M8" s="1" t="s">
        <v>34</v>
      </c>
      <c r="N8" s="1" t="s">
        <v>33</v>
      </c>
      <c r="O8" s="1" t="s">
        <v>36</v>
      </c>
      <c r="P8" s="9" t="s">
        <v>38</v>
      </c>
      <c r="Q8" s="9" t="s">
        <v>38</v>
      </c>
      <c r="R8" s="9" t="s">
        <v>39</v>
      </c>
      <c r="S8" s="1" t="s">
        <v>55</v>
      </c>
      <c r="T8" s="1" t="s">
        <v>58</v>
      </c>
      <c r="U8" s="12">
        <v>45869</v>
      </c>
    </row>
    <row r="9" spans="1:21" x14ac:dyDescent="0.25">
      <c r="A9" s="1">
        <v>1</v>
      </c>
      <c r="B9" s="1" t="s">
        <v>15</v>
      </c>
      <c r="C9" s="1">
        <v>8</v>
      </c>
      <c r="D9" s="1" t="s">
        <v>833</v>
      </c>
      <c r="E9" s="1" t="s">
        <v>98</v>
      </c>
      <c r="F9" s="1" t="s">
        <v>46</v>
      </c>
      <c r="G9" s="1" t="str">
        <f t="shared" si="0"/>
        <v>SOCIEDAD CIVIL DE RENTAS CADINI S.C</v>
      </c>
      <c r="H9" s="1">
        <f>COUNTIFS(RELACIONADAS!$C:$C,CLIENTES!$F9,RELACIONADAS!$G:$G,"SI")</f>
        <v>2</v>
      </c>
      <c r="I9" s="1">
        <f>COUNTIFS(RELACIONADAS!$C:$C,CLIENTES!$F9,RELACIONADAS!$H:$H,"SI")</f>
        <v>5</v>
      </c>
      <c r="J9" s="1" t="s">
        <v>22</v>
      </c>
      <c r="K9" s="1" t="s">
        <v>27</v>
      </c>
      <c r="L9" s="1" t="s">
        <v>823</v>
      </c>
      <c r="M9" s="1" t="s">
        <v>34</v>
      </c>
      <c r="N9" s="1" t="s">
        <v>33</v>
      </c>
      <c r="O9" s="1" t="s">
        <v>36</v>
      </c>
      <c r="P9" s="9" t="s">
        <v>38</v>
      </c>
      <c r="Q9" s="9" t="s">
        <v>38</v>
      </c>
      <c r="R9" s="9" t="s">
        <v>39</v>
      </c>
      <c r="S9" s="1" t="s">
        <v>55</v>
      </c>
      <c r="T9" s="1" t="s">
        <v>58</v>
      </c>
      <c r="U9" s="12">
        <v>45869</v>
      </c>
    </row>
    <row r="10" spans="1:21" x14ac:dyDescent="0.25">
      <c r="A10" s="1">
        <v>1</v>
      </c>
      <c r="B10" s="1" t="s">
        <v>15</v>
      </c>
      <c r="C10" s="1">
        <v>9</v>
      </c>
      <c r="D10" s="1" t="s">
        <v>105</v>
      </c>
      <c r="E10" s="1" t="s">
        <v>106</v>
      </c>
      <c r="F10" s="1" t="s">
        <v>565</v>
      </c>
      <c r="G10" s="1" t="str">
        <f t="shared" si="0"/>
        <v>INMOBILIARIA ESPACIO LEGAL SPA</v>
      </c>
      <c r="H10" s="1">
        <f>COUNTIFS(RELACIONADAS!$C:$C,CLIENTES!$F10,RELACIONADAS!$G:$G,"SI")</f>
        <v>5</v>
      </c>
      <c r="I10" s="1">
        <f>COUNTIFS(RELACIONADAS!$C:$C,CLIENTES!$F10,RELACIONADAS!$H:$H,"SI")</f>
        <v>3</v>
      </c>
      <c r="J10" s="1" t="s">
        <v>22</v>
      </c>
      <c r="K10" s="1" t="s">
        <v>27</v>
      </c>
      <c r="L10" s="1" t="s">
        <v>823</v>
      </c>
      <c r="M10" s="1" t="s">
        <v>34</v>
      </c>
      <c r="N10" s="1" t="s">
        <v>32</v>
      </c>
      <c r="O10" s="1" t="s">
        <v>36</v>
      </c>
      <c r="P10" s="9" t="s">
        <v>38</v>
      </c>
      <c r="Q10" s="9" t="s">
        <v>38</v>
      </c>
      <c r="R10" s="9" t="s">
        <v>39</v>
      </c>
      <c r="S10" s="1" t="s">
        <v>55</v>
      </c>
      <c r="T10" s="1" t="s">
        <v>58</v>
      </c>
      <c r="U10" s="12">
        <v>45869</v>
      </c>
    </row>
    <row r="11" spans="1:21" x14ac:dyDescent="0.25">
      <c r="A11" s="1">
        <v>1</v>
      </c>
      <c r="B11" s="1" t="s">
        <v>15</v>
      </c>
      <c r="C11" s="1">
        <v>10</v>
      </c>
      <c r="D11" s="1" t="s">
        <v>133</v>
      </c>
      <c r="E11" s="1" t="s">
        <v>134</v>
      </c>
      <c r="F11" s="1" t="s">
        <v>579</v>
      </c>
      <c r="G11" s="1" t="str">
        <f t="shared" si="0"/>
        <v>RENTAS ABCIA LIMITADA</v>
      </c>
      <c r="H11" s="1">
        <f>COUNTIFS(RELACIONADAS!$C:$C,CLIENTES!$F11,RELACIONADAS!$G:$G,"SI")</f>
        <v>3</v>
      </c>
      <c r="I11" s="1">
        <f>COUNTIFS(RELACIONADAS!$C:$C,CLIENTES!$F11,RELACIONADAS!$H:$H,"SI")</f>
        <v>3</v>
      </c>
      <c r="J11" s="1" t="s">
        <v>22</v>
      </c>
      <c r="K11" s="1" t="s">
        <v>27</v>
      </c>
      <c r="L11" s="1" t="s">
        <v>823</v>
      </c>
      <c r="M11" s="1" t="s">
        <v>34</v>
      </c>
      <c r="N11" s="1" t="s">
        <v>33</v>
      </c>
      <c r="O11" s="1" t="s">
        <v>36</v>
      </c>
      <c r="P11" s="9" t="s">
        <v>38</v>
      </c>
      <c r="Q11" s="9" t="s">
        <v>38</v>
      </c>
      <c r="R11" s="9" t="s">
        <v>39</v>
      </c>
      <c r="S11" s="1" t="s">
        <v>55</v>
      </c>
      <c r="T11" s="1" t="s">
        <v>58</v>
      </c>
      <c r="U11" s="12">
        <v>45869</v>
      </c>
    </row>
    <row r="12" spans="1:21" x14ac:dyDescent="0.25">
      <c r="A12" s="1">
        <v>1</v>
      </c>
      <c r="B12" s="1" t="s">
        <v>15</v>
      </c>
      <c r="C12" s="1">
        <v>11</v>
      </c>
      <c r="D12" s="1" t="s">
        <v>111</v>
      </c>
      <c r="E12" s="1" t="s">
        <v>137</v>
      </c>
      <c r="F12" s="1" t="s">
        <v>566</v>
      </c>
      <c r="G12" s="1" t="str">
        <f t="shared" si="0"/>
        <v>INVERSIONES RODAS DE BAHIA INTERNACIONAL SPA</v>
      </c>
      <c r="H12" s="1">
        <f>COUNTIFS(RELACIONADAS!$C:$C,CLIENTES!$F12,RELACIONADAS!$G:$G,"SI")</f>
        <v>2</v>
      </c>
      <c r="I12" s="1">
        <f>COUNTIFS(RELACIONADAS!$C:$C,CLIENTES!$F12,RELACIONADAS!$H:$H,"SI")</f>
        <v>1</v>
      </c>
      <c r="J12" s="1" t="s">
        <v>22</v>
      </c>
      <c r="K12" s="1" t="s">
        <v>27</v>
      </c>
      <c r="L12" s="1" t="s">
        <v>823</v>
      </c>
      <c r="M12" s="1" t="s">
        <v>34</v>
      </c>
      <c r="N12" s="1" t="s">
        <v>33</v>
      </c>
      <c r="O12" s="1" t="s">
        <v>36</v>
      </c>
      <c r="P12" s="9" t="s">
        <v>38</v>
      </c>
      <c r="Q12" s="9" t="s">
        <v>38</v>
      </c>
      <c r="R12" s="9" t="s">
        <v>39</v>
      </c>
      <c r="S12" s="1" t="s">
        <v>55</v>
      </c>
      <c r="T12" s="1" t="s">
        <v>58</v>
      </c>
      <c r="U12" s="12">
        <v>45869</v>
      </c>
    </row>
    <row r="13" spans="1:21" x14ac:dyDescent="0.25">
      <c r="A13" s="1">
        <v>1</v>
      </c>
      <c r="B13" s="1" t="s">
        <v>15</v>
      </c>
      <c r="C13" s="1">
        <v>12</v>
      </c>
      <c r="D13" s="1" t="s">
        <v>112</v>
      </c>
      <c r="E13" s="1" t="s">
        <v>138</v>
      </c>
      <c r="F13" s="1" t="s">
        <v>567</v>
      </c>
      <c r="G13" s="1" t="str">
        <f t="shared" si="0"/>
        <v>LA LLAVERIA INTERNACIONAL SPA</v>
      </c>
      <c r="H13" s="1">
        <f>COUNTIFS(RELACIONADAS!$C:$C,CLIENTES!$F13,RELACIONADAS!$G:$G,"SI")</f>
        <v>2</v>
      </c>
      <c r="I13" s="1">
        <f>COUNTIFS(RELACIONADAS!$C:$C,CLIENTES!$F13,RELACIONADAS!$H:$H,"SI")</f>
        <v>1</v>
      </c>
      <c r="J13" s="1" t="s">
        <v>22</v>
      </c>
      <c r="K13" s="1" t="s">
        <v>27</v>
      </c>
      <c r="L13" s="1" t="s">
        <v>823</v>
      </c>
      <c r="M13" s="1" t="s">
        <v>34</v>
      </c>
      <c r="N13" s="1" t="s">
        <v>33</v>
      </c>
      <c r="O13" s="1" t="s">
        <v>36</v>
      </c>
      <c r="P13" s="9" t="s">
        <v>38</v>
      </c>
      <c r="Q13" s="9" t="s">
        <v>38</v>
      </c>
      <c r="R13" s="9" t="s">
        <v>39</v>
      </c>
      <c r="S13" s="1" t="s">
        <v>55</v>
      </c>
      <c r="T13" s="1" t="s">
        <v>58</v>
      </c>
      <c r="U13" s="12">
        <v>45869</v>
      </c>
    </row>
    <row r="14" spans="1:21" x14ac:dyDescent="0.25">
      <c r="A14" s="1">
        <v>2</v>
      </c>
      <c r="B14" s="1" t="s">
        <v>113</v>
      </c>
      <c r="C14" s="1">
        <v>1</v>
      </c>
      <c r="D14" s="1" t="s">
        <v>114</v>
      </c>
      <c r="E14" s="1" t="s">
        <v>124</v>
      </c>
      <c r="F14" s="1" t="s">
        <v>568</v>
      </c>
      <c r="G14" s="1" t="str">
        <f t="shared" si="0"/>
        <v>INMOBILIARIA E INVERSIONES PIREHUEICO SPA</v>
      </c>
      <c r="H14" s="1">
        <f>COUNTIFS(RELACIONADAS!$C:$C,CLIENTES!$F14,RELACIONADAS!$G:$G,"SI")</f>
        <v>4</v>
      </c>
      <c r="I14" s="1">
        <f>COUNTIFS(RELACIONADAS!$C:$C,CLIENTES!$F14,RELACIONADAS!$H:$H,"SI")</f>
        <v>12</v>
      </c>
      <c r="J14" s="1" t="s">
        <v>22</v>
      </c>
      <c r="K14" s="1" t="s">
        <v>27</v>
      </c>
      <c r="L14" s="1" t="s">
        <v>823</v>
      </c>
      <c r="M14" s="1" t="s">
        <v>34</v>
      </c>
      <c r="N14" s="1" t="s">
        <v>33</v>
      </c>
      <c r="O14" s="1" t="s">
        <v>37</v>
      </c>
      <c r="P14" s="9" t="s">
        <v>826</v>
      </c>
      <c r="Q14" s="9" t="s">
        <v>38</v>
      </c>
      <c r="R14" s="9" t="s">
        <v>39</v>
      </c>
      <c r="S14" s="1" t="s">
        <v>55</v>
      </c>
      <c r="T14" s="1" t="s">
        <v>58</v>
      </c>
      <c r="U14" s="12">
        <v>45869</v>
      </c>
    </row>
    <row r="15" spans="1:21" x14ac:dyDescent="0.25">
      <c r="A15" s="1">
        <v>2</v>
      </c>
      <c r="B15" s="1" t="s">
        <v>113</v>
      </c>
      <c r="C15" s="1">
        <v>2</v>
      </c>
      <c r="D15" s="1" t="s">
        <v>119</v>
      </c>
      <c r="E15" s="1" t="s">
        <v>125</v>
      </c>
      <c r="F15" s="1" t="s">
        <v>569</v>
      </c>
      <c r="G15" s="1" t="str">
        <f t="shared" si="0"/>
        <v>INMOBILIARIA E INVERSIONES TAORMINA LTDA.</v>
      </c>
      <c r="H15" s="1">
        <f>COUNTIFS(RELACIONADAS!$C:$C,CLIENTES!$F15,RELACIONADAS!$G:$G,"SI")</f>
        <v>4</v>
      </c>
      <c r="I15" s="1">
        <f>COUNTIFS(RELACIONADAS!$C:$C,CLIENTES!$F15,RELACIONADAS!$H:$H,"SI")</f>
        <v>4</v>
      </c>
      <c r="J15" s="1" t="s">
        <v>22</v>
      </c>
      <c r="K15" s="1" t="s">
        <v>27</v>
      </c>
      <c r="L15" s="1" t="s">
        <v>823</v>
      </c>
      <c r="M15" s="1" t="s">
        <v>34</v>
      </c>
      <c r="N15" s="1" t="s">
        <v>33</v>
      </c>
      <c r="O15" s="1" t="s">
        <v>37</v>
      </c>
      <c r="P15" s="9" t="s">
        <v>826</v>
      </c>
      <c r="Q15" s="9" t="s">
        <v>38</v>
      </c>
      <c r="R15" s="9" t="s">
        <v>39</v>
      </c>
      <c r="S15" s="1" t="s">
        <v>55</v>
      </c>
      <c r="T15" s="1" t="s">
        <v>58</v>
      </c>
      <c r="U15" s="12">
        <v>45869</v>
      </c>
    </row>
    <row r="16" spans="1:21" x14ac:dyDescent="0.25">
      <c r="A16" s="1">
        <v>2</v>
      </c>
      <c r="B16" s="1" t="s">
        <v>113</v>
      </c>
      <c r="C16" s="1">
        <v>3</v>
      </c>
      <c r="D16" s="1" t="s">
        <v>49</v>
      </c>
      <c r="E16" s="1" t="s">
        <v>126</v>
      </c>
      <c r="F16" s="1" t="s">
        <v>570</v>
      </c>
      <c r="G16" s="1" t="str">
        <f t="shared" si="0"/>
        <v>ASESORIAS E INVERSIONES SANTA ELOISA SPA.</v>
      </c>
      <c r="H16" s="1">
        <f>COUNTIFS(RELACIONADAS!$C:$C,CLIENTES!$F16,RELACIONADAS!$G:$G,"SI")</f>
        <v>4</v>
      </c>
      <c r="I16" s="1">
        <f>COUNTIFS(RELACIONADAS!$C:$C,CLIENTES!$F16,RELACIONADAS!$H:$H,"SI")</f>
        <v>4</v>
      </c>
      <c r="J16" s="1" t="s">
        <v>22</v>
      </c>
      <c r="K16" s="1" t="s">
        <v>27</v>
      </c>
      <c r="L16" s="1" t="s">
        <v>823</v>
      </c>
      <c r="M16" s="1" t="s">
        <v>34</v>
      </c>
      <c r="N16" s="1" t="s">
        <v>33</v>
      </c>
      <c r="O16" s="1" t="s">
        <v>37</v>
      </c>
      <c r="P16" s="9" t="s">
        <v>826</v>
      </c>
      <c r="Q16" s="9" t="s">
        <v>38</v>
      </c>
      <c r="R16" s="9" t="s">
        <v>39</v>
      </c>
      <c r="S16" s="1" t="s">
        <v>55</v>
      </c>
      <c r="T16" s="1" t="s">
        <v>58</v>
      </c>
      <c r="U16" s="12">
        <v>45869</v>
      </c>
    </row>
    <row r="17" spans="1:21" x14ac:dyDescent="0.25">
      <c r="A17" s="1">
        <v>3</v>
      </c>
      <c r="B17" s="1" t="s">
        <v>552</v>
      </c>
      <c r="C17" s="1">
        <v>1</v>
      </c>
      <c r="D17" s="1" t="s">
        <v>820</v>
      </c>
      <c r="E17" s="1" t="s">
        <v>185</v>
      </c>
      <c r="F17" s="1" t="s">
        <v>144</v>
      </c>
      <c r="G17" s="1" t="str">
        <f t="shared" si="0"/>
        <v>FORESTAL RECIMEX SA</v>
      </c>
      <c r="H17" s="1">
        <f>COUNTIFS(RELACIONADAS!$C:$C,CLIENTES!$F17,RELACIONADAS!$G:$G,"SI")</f>
        <v>4</v>
      </c>
      <c r="I17" s="1">
        <f>COUNTIFS(RELACIONADAS!$C:$C,CLIENTES!$F17,RELACIONADAS!$H:$H,"SI")</f>
        <v>3</v>
      </c>
      <c r="J17" s="1" t="s">
        <v>22</v>
      </c>
      <c r="K17" s="1" t="s">
        <v>28</v>
      </c>
      <c r="L17" s="1" t="s">
        <v>824</v>
      </c>
      <c r="M17" s="1" t="s">
        <v>34</v>
      </c>
      <c r="N17" s="1" t="s">
        <v>33</v>
      </c>
      <c r="O17" s="1" t="s">
        <v>37</v>
      </c>
      <c r="P17" s="9" t="s">
        <v>826</v>
      </c>
      <c r="Q17" s="9" t="s">
        <v>38</v>
      </c>
      <c r="R17" s="9" t="s">
        <v>39</v>
      </c>
      <c r="S17" s="1" t="s">
        <v>55</v>
      </c>
      <c r="T17" s="1" t="s">
        <v>58</v>
      </c>
      <c r="U17" s="12">
        <v>45869</v>
      </c>
    </row>
    <row r="18" spans="1:21" x14ac:dyDescent="0.25">
      <c r="A18" s="1">
        <v>3</v>
      </c>
      <c r="B18" s="1" t="s">
        <v>552</v>
      </c>
      <c r="C18" s="1">
        <v>2</v>
      </c>
      <c r="D18" s="1" t="s">
        <v>159</v>
      </c>
      <c r="E18" s="1" t="s">
        <v>186</v>
      </c>
      <c r="F18" s="1" t="s">
        <v>180</v>
      </c>
      <c r="G18" s="1" t="str">
        <f t="shared" si="0"/>
        <v>INMOBILIARIA HC LIMITADA</v>
      </c>
      <c r="H18" s="1">
        <f>COUNTIFS(RELACIONADAS!$C:$C,CLIENTES!$F18,RELACIONADAS!$G:$G,"SI")</f>
        <v>1</v>
      </c>
      <c r="I18" s="1">
        <f>COUNTIFS(RELACIONADAS!$C:$C,CLIENTES!$F18,RELACIONADAS!$H:$H,"SI")</f>
        <v>2</v>
      </c>
      <c r="J18" s="1" t="s">
        <v>22</v>
      </c>
      <c r="K18" s="1" t="s">
        <v>27</v>
      </c>
      <c r="L18" s="1" t="s">
        <v>823</v>
      </c>
      <c r="M18" s="1" t="s">
        <v>34</v>
      </c>
      <c r="N18" s="1" t="s">
        <v>31</v>
      </c>
      <c r="O18" s="1" t="s">
        <v>37</v>
      </c>
      <c r="P18" s="9" t="s">
        <v>826</v>
      </c>
      <c r="Q18" s="9" t="s">
        <v>38</v>
      </c>
      <c r="R18" s="9" t="s">
        <v>39</v>
      </c>
      <c r="S18" s="1" t="s">
        <v>55</v>
      </c>
      <c r="T18" s="1" t="s">
        <v>58</v>
      </c>
      <c r="U18" s="12">
        <v>45869</v>
      </c>
    </row>
    <row r="19" spans="1:21" x14ac:dyDescent="0.25">
      <c r="A19" s="1">
        <v>3</v>
      </c>
      <c r="B19" s="1" t="s">
        <v>552</v>
      </c>
      <c r="C19" s="1">
        <v>3</v>
      </c>
      <c r="D19" s="1" t="s">
        <v>166</v>
      </c>
      <c r="E19" s="1" t="s">
        <v>187</v>
      </c>
      <c r="F19" s="1" t="s">
        <v>571</v>
      </c>
      <c r="G19" s="1" t="str">
        <f t="shared" si="0"/>
        <v>RENTAS HC LIMITADA</v>
      </c>
      <c r="H19" s="1">
        <f>COUNTIFS(RELACIONADAS!$C:$C,CLIENTES!$F19,RELACIONADAS!$G:$G,"SI")</f>
        <v>1</v>
      </c>
      <c r="I19" s="1">
        <f>COUNTIFS(RELACIONADAS!$C:$C,CLIENTES!$F19,RELACIONADAS!$H:$H,"SI")</f>
        <v>2</v>
      </c>
      <c r="J19" s="1" t="s">
        <v>22</v>
      </c>
      <c r="K19" s="1" t="s">
        <v>27</v>
      </c>
      <c r="L19" s="1" t="s">
        <v>823</v>
      </c>
      <c r="M19" s="1" t="s">
        <v>34</v>
      </c>
      <c r="N19" s="1" t="s">
        <v>31</v>
      </c>
      <c r="O19" s="1" t="s">
        <v>37</v>
      </c>
      <c r="P19" s="9" t="s">
        <v>826</v>
      </c>
      <c r="Q19" s="9" t="s">
        <v>38</v>
      </c>
      <c r="R19" s="9" t="s">
        <v>39</v>
      </c>
      <c r="S19" s="1" t="s">
        <v>55</v>
      </c>
      <c r="T19" s="1" t="s">
        <v>58</v>
      </c>
      <c r="U19" s="12">
        <v>45869</v>
      </c>
    </row>
    <row r="20" spans="1:21" x14ac:dyDescent="0.25">
      <c r="A20" s="1">
        <v>3</v>
      </c>
      <c r="B20" s="1" t="s">
        <v>552</v>
      </c>
      <c r="C20" s="1">
        <v>4</v>
      </c>
      <c r="D20" s="1" t="s">
        <v>167</v>
      </c>
      <c r="E20" s="1" t="s">
        <v>188</v>
      </c>
      <c r="F20" s="1" t="s">
        <v>572</v>
      </c>
      <c r="G20" s="1" t="str">
        <f t="shared" si="0"/>
        <v>INMOBILIARIA EL GOLF 1 SPA</v>
      </c>
      <c r="H20" s="1">
        <f>COUNTIFS(RELACIONADAS!$C:$C,CLIENTES!$F20,RELACIONADAS!$G:$G,"SI")</f>
        <v>1</v>
      </c>
      <c r="I20" s="1">
        <f>COUNTIFS(RELACIONADAS!$C:$C,CLIENTES!$F20,RELACIONADAS!$H:$H,"SI")</f>
        <v>7</v>
      </c>
      <c r="J20" s="1" t="s">
        <v>22</v>
      </c>
      <c r="K20" s="1" t="s">
        <v>27</v>
      </c>
      <c r="L20" s="1" t="s">
        <v>823</v>
      </c>
      <c r="M20" s="1" t="s">
        <v>34</v>
      </c>
      <c r="N20" s="1" t="s">
        <v>31</v>
      </c>
      <c r="O20" s="1" t="s">
        <v>37</v>
      </c>
      <c r="P20" s="9" t="s">
        <v>826</v>
      </c>
      <c r="Q20" s="9" t="s">
        <v>38</v>
      </c>
      <c r="R20" s="9" t="s">
        <v>39</v>
      </c>
      <c r="S20" s="1" t="s">
        <v>55</v>
      </c>
      <c r="T20" s="1" t="s">
        <v>58</v>
      </c>
      <c r="U20" s="12">
        <v>45869</v>
      </c>
    </row>
    <row r="21" spans="1:21" x14ac:dyDescent="0.25">
      <c r="A21" s="1">
        <v>3</v>
      </c>
      <c r="B21" s="1" t="s">
        <v>552</v>
      </c>
      <c r="C21" s="1">
        <v>5</v>
      </c>
      <c r="D21" s="1" t="s">
        <v>181</v>
      </c>
      <c r="E21" s="1" t="s">
        <v>189</v>
      </c>
      <c r="F21" s="1" t="s">
        <v>182</v>
      </c>
      <c r="G21" s="1" t="str">
        <f t="shared" si="0"/>
        <v>FORESTAL TERRASUR LIMITADA</v>
      </c>
      <c r="H21" s="1">
        <f>COUNTIFS(RELACIONADAS!$C:$C,CLIENTES!$F21,RELACIONADAS!$G:$G,"SI")</f>
        <v>2</v>
      </c>
      <c r="I21" s="1">
        <f>COUNTIFS(RELACIONADAS!$C:$C,CLIENTES!$F21,RELACIONADAS!$H:$H,"SI")</f>
        <v>2</v>
      </c>
      <c r="J21" s="1" t="s">
        <v>22</v>
      </c>
      <c r="K21" s="1" t="s">
        <v>27</v>
      </c>
      <c r="L21" s="1" t="s">
        <v>823</v>
      </c>
      <c r="M21" s="1" t="s">
        <v>34</v>
      </c>
      <c r="N21" s="1" t="s">
        <v>32</v>
      </c>
      <c r="O21" s="1" t="s">
        <v>37</v>
      </c>
      <c r="P21" s="9" t="s">
        <v>826</v>
      </c>
      <c r="Q21" s="9" t="s">
        <v>38</v>
      </c>
      <c r="R21" s="9" t="s">
        <v>39</v>
      </c>
      <c r="S21" s="1" t="s">
        <v>55</v>
      </c>
      <c r="T21" s="1" t="s">
        <v>58</v>
      </c>
      <c r="U21" s="12">
        <v>45869</v>
      </c>
    </row>
    <row r="22" spans="1:21" x14ac:dyDescent="0.25">
      <c r="A22" s="1">
        <v>4</v>
      </c>
      <c r="B22" s="1" t="s">
        <v>223</v>
      </c>
      <c r="C22" s="1">
        <v>1</v>
      </c>
      <c r="D22" s="1" t="s">
        <v>190</v>
      </c>
      <c r="E22" s="1" t="s">
        <v>218</v>
      </c>
      <c r="F22" s="1" t="s">
        <v>191</v>
      </c>
      <c r="G22" s="1" t="str">
        <f t="shared" si="0"/>
        <v>EBB TRADING LIMITADA</v>
      </c>
      <c r="H22" s="1">
        <f>COUNTIFS(RELACIONADAS!$C:$C,CLIENTES!$F22,RELACIONADAS!$G:$G,"SI")</f>
        <v>2</v>
      </c>
      <c r="I22" s="1">
        <f>COUNTIFS(RELACIONADAS!$C:$C,CLIENTES!$F22,RELACIONADAS!$H:$H,"SI")</f>
        <v>2</v>
      </c>
      <c r="J22" s="1" t="s">
        <v>22</v>
      </c>
      <c r="K22" s="1" t="s">
        <v>27</v>
      </c>
      <c r="L22" s="1" t="s">
        <v>823</v>
      </c>
      <c r="M22" s="1" t="s">
        <v>34</v>
      </c>
      <c r="N22" s="1" t="s">
        <v>32</v>
      </c>
      <c r="O22" s="1" t="s">
        <v>36</v>
      </c>
      <c r="P22" s="9" t="s">
        <v>38</v>
      </c>
      <c r="Q22" s="9" t="s">
        <v>38</v>
      </c>
      <c r="R22" s="9" t="s">
        <v>39</v>
      </c>
      <c r="S22" s="1" t="s">
        <v>55</v>
      </c>
      <c r="T22" s="1" t="s">
        <v>58</v>
      </c>
      <c r="U22" s="12">
        <v>45869</v>
      </c>
    </row>
    <row r="23" spans="1:21" x14ac:dyDescent="0.25">
      <c r="A23" s="1">
        <v>4</v>
      </c>
      <c r="B23" s="1" t="s">
        <v>223</v>
      </c>
      <c r="C23" s="1">
        <v>2</v>
      </c>
      <c r="D23" s="1" t="s">
        <v>196</v>
      </c>
      <c r="E23" s="1" t="s">
        <v>219</v>
      </c>
      <c r="F23" s="1" t="s">
        <v>197</v>
      </c>
      <c r="G23" s="1" t="str">
        <f t="shared" si="0"/>
        <v>RENTAS BUNSCHAR LTDA</v>
      </c>
      <c r="H23" s="1">
        <f>COUNTIFS(RELACIONADAS!$C:$C,CLIENTES!$F23,RELACIONADAS!$G:$G,"SI")</f>
        <v>1</v>
      </c>
      <c r="I23" s="1">
        <f>COUNTIFS(RELACIONADAS!$C:$C,CLIENTES!$F23,RELACIONADAS!$H:$H,"SI")</f>
        <v>6</v>
      </c>
      <c r="J23" s="1" t="s">
        <v>22</v>
      </c>
      <c r="K23" s="1" t="s">
        <v>27</v>
      </c>
      <c r="L23" s="1" t="s">
        <v>823</v>
      </c>
      <c r="M23" s="1" t="s">
        <v>34</v>
      </c>
      <c r="N23" s="1" t="s">
        <v>33</v>
      </c>
      <c r="O23" s="1" t="s">
        <v>36</v>
      </c>
      <c r="P23" s="9" t="s">
        <v>38</v>
      </c>
      <c r="Q23" s="9" t="s">
        <v>38</v>
      </c>
      <c r="R23" s="9" t="s">
        <v>39</v>
      </c>
      <c r="S23" s="1" t="s">
        <v>55</v>
      </c>
      <c r="T23" s="1" t="s">
        <v>58</v>
      </c>
      <c r="U23" s="12">
        <v>45869</v>
      </c>
    </row>
    <row r="24" spans="1:21" x14ac:dyDescent="0.25">
      <c r="A24" s="1">
        <v>4</v>
      </c>
      <c r="B24" s="1" t="s">
        <v>223</v>
      </c>
      <c r="C24" s="1">
        <v>3</v>
      </c>
      <c r="D24" s="1" t="s">
        <v>206</v>
      </c>
      <c r="E24" s="1" t="s">
        <v>220</v>
      </c>
      <c r="F24" s="1" t="s">
        <v>207</v>
      </c>
      <c r="G24" s="1" t="str">
        <f t="shared" si="0"/>
        <v>ASESORIAS E INVERSIONES HOLOSCOPICA LIMITADA</v>
      </c>
      <c r="H24" s="1">
        <f>COUNTIFS(RELACIONADAS!$C:$C,CLIENTES!$F24,RELACIONADAS!$G:$G,"SI")</f>
        <v>2</v>
      </c>
      <c r="I24" s="1">
        <f>COUNTIFS(RELACIONADAS!$C:$C,CLIENTES!$F24,RELACIONADAS!$H:$H,"SI")</f>
        <v>2</v>
      </c>
      <c r="J24" s="1" t="s">
        <v>22</v>
      </c>
      <c r="K24" s="1" t="s">
        <v>27</v>
      </c>
      <c r="L24" s="1" t="s">
        <v>823</v>
      </c>
      <c r="M24" s="1" t="s">
        <v>34</v>
      </c>
      <c r="N24" s="1" t="s">
        <v>33</v>
      </c>
      <c r="O24" s="1" t="s">
        <v>36</v>
      </c>
      <c r="P24" s="9" t="s">
        <v>38</v>
      </c>
      <c r="Q24" s="9" t="s">
        <v>38</v>
      </c>
      <c r="R24" s="9" t="s">
        <v>39</v>
      </c>
      <c r="S24" s="1" t="s">
        <v>55</v>
      </c>
      <c r="T24" s="1" t="s">
        <v>58</v>
      </c>
      <c r="U24" s="12">
        <v>45869</v>
      </c>
    </row>
    <row r="25" spans="1:21" x14ac:dyDescent="0.25">
      <c r="A25" s="1">
        <v>4</v>
      </c>
      <c r="B25" s="1" t="s">
        <v>223</v>
      </c>
      <c r="C25" s="1">
        <v>4</v>
      </c>
      <c r="D25" s="1" t="s">
        <v>208</v>
      </c>
      <c r="E25" s="1" t="s">
        <v>221</v>
      </c>
      <c r="F25" s="1" t="s">
        <v>209</v>
      </c>
      <c r="G25" s="1" t="str">
        <f t="shared" si="0"/>
        <v>NABE PRODUCCIONES SPA</v>
      </c>
      <c r="H25" s="1">
        <f>COUNTIFS(RELACIONADAS!$C:$C,CLIENTES!$F25,RELACIONADAS!$G:$G,"SI")</f>
        <v>1</v>
      </c>
      <c r="I25" s="1">
        <f>COUNTIFS(RELACIONADAS!$C:$C,CLIENTES!$F25,RELACIONADAS!$H:$H,"SI")</f>
        <v>7</v>
      </c>
      <c r="J25" s="1" t="s">
        <v>22</v>
      </c>
      <c r="K25" s="1" t="s">
        <v>27</v>
      </c>
      <c r="L25" s="1" t="s">
        <v>823</v>
      </c>
      <c r="M25" s="1" t="s">
        <v>34</v>
      </c>
      <c r="N25" s="1" t="s">
        <v>33</v>
      </c>
      <c r="O25" s="1" t="s">
        <v>36</v>
      </c>
      <c r="P25" s="9" t="s">
        <v>38</v>
      </c>
      <c r="Q25" s="9" t="s">
        <v>38</v>
      </c>
      <c r="R25" s="9" t="s">
        <v>39</v>
      </c>
      <c r="S25" s="1" t="s">
        <v>55</v>
      </c>
      <c r="T25" s="1" t="s">
        <v>58</v>
      </c>
      <c r="U25" s="12">
        <v>45869</v>
      </c>
    </row>
    <row r="26" spans="1:21" x14ac:dyDescent="0.25">
      <c r="A26" s="1">
        <v>4</v>
      </c>
      <c r="B26" s="1" t="s">
        <v>223</v>
      </c>
      <c r="C26" s="1">
        <v>5</v>
      </c>
      <c r="D26" s="1" t="s">
        <v>216</v>
      </c>
      <c r="E26" s="1" t="s">
        <v>222</v>
      </c>
      <c r="F26" s="1" t="s">
        <v>217</v>
      </c>
      <c r="G26" s="1" t="str">
        <f t="shared" si="0"/>
        <v>INVERSIONES SANTA MAGDALENA LIMITADA</v>
      </c>
      <c r="H26" s="1">
        <f>COUNTIFS(RELACIONADAS!$C:$C,CLIENTES!$F26,RELACIONADAS!$G:$G,"SI")</f>
        <v>2</v>
      </c>
      <c r="I26" s="1">
        <f>COUNTIFS(RELACIONADAS!$C:$C,CLIENTES!$F26,RELACIONADAS!$H:$H,"SI")</f>
        <v>3</v>
      </c>
      <c r="J26" s="1" t="s">
        <v>22</v>
      </c>
      <c r="K26" s="1" t="s">
        <v>27</v>
      </c>
      <c r="L26" s="1" t="s">
        <v>823</v>
      </c>
      <c r="M26" s="1" t="s">
        <v>34</v>
      </c>
      <c r="N26" s="1" t="s">
        <v>31</v>
      </c>
      <c r="O26" s="1" t="s">
        <v>36</v>
      </c>
      <c r="P26" s="9" t="s">
        <v>38</v>
      </c>
      <c r="Q26" s="9" t="s">
        <v>38</v>
      </c>
      <c r="R26" s="9" t="s">
        <v>39</v>
      </c>
      <c r="S26" s="1" t="s">
        <v>55</v>
      </c>
      <c r="T26" s="1" t="s">
        <v>58</v>
      </c>
      <c r="U26" s="12">
        <v>45869</v>
      </c>
    </row>
    <row r="27" spans="1:21" x14ac:dyDescent="0.25">
      <c r="A27" s="1">
        <v>5</v>
      </c>
      <c r="B27" s="1" t="s">
        <v>242</v>
      </c>
      <c r="C27" s="1">
        <v>1</v>
      </c>
      <c r="D27" s="1" t="s">
        <v>224</v>
      </c>
      <c r="E27" s="1" t="s">
        <v>577</v>
      </c>
      <c r="F27" s="1" t="s">
        <v>225</v>
      </c>
      <c r="G27" s="1" t="str">
        <f t="shared" si="0"/>
        <v>INVERSIONES EL CANELO LIMITADA</v>
      </c>
      <c r="H27" s="1">
        <f>COUNTIFS(RELACIONADAS!$C:$C,CLIENTES!$F27,RELACIONADAS!$G:$G,"SI")</f>
        <v>1</v>
      </c>
      <c r="I27" s="1">
        <f>COUNTIFS(RELACIONADAS!$C:$C,CLIENTES!$F27,RELACIONADAS!$H:$H,"SI")</f>
        <v>2</v>
      </c>
      <c r="J27" s="1" t="s">
        <v>22</v>
      </c>
      <c r="K27" s="1" t="s">
        <v>27</v>
      </c>
      <c r="L27" s="1" t="s">
        <v>823</v>
      </c>
      <c r="M27" s="1" t="s">
        <v>34</v>
      </c>
      <c r="N27" s="1" t="s">
        <v>32</v>
      </c>
      <c r="O27" s="1" t="s">
        <v>37</v>
      </c>
      <c r="P27" s="9" t="s">
        <v>826</v>
      </c>
      <c r="Q27" s="9" t="s">
        <v>38</v>
      </c>
      <c r="R27" s="9" t="s">
        <v>39</v>
      </c>
      <c r="S27" s="1" t="s">
        <v>55</v>
      </c>
      <c r="T27" s="1" t="s">
        <v>58</v>
      </c>
      <c r="U27" s="12">
        <v>45869</v>
      </c>
    </row>
    <row r="28" spans="1:21" x14ac:dyDescent="0.25">
      <c r="A28" s="1">
        <v>5</v>
      </c>
      <c r="B28" s="1" t="s">
        <v>242</v>
      </c>
      <c r="C28" s="1">
        <v>2</v>
      </c>
      <c r="D28" s="1" t="s">
        <v>230</v>
      </c>
      <c r="E28" s="1" t="s">
        <v>577</v>
      </c>
      <c r="F28" s="1" t="s">
        <v>231</v>
      </c>
      <c r="G28" s="1" t="str">
        <f t="shared" si="0"/>
        <v>ASESORIAS RIHUE LIMITADA</v>
      </c>
      <c r="H28" s="1">
        <f>COUNTIFS(RELACIONADAS!$C:$C,CLIENTES!$F28,RELACIONADAS!$G:$G,"SI")</f>
        <v>1</v>
      </c>
      <c r="I28" s="1">
        <f>COUNTIFS(RELACIONADAS!$C:$C,CLIENTES!$F28,RELACIONADAS!$H:$H,"SI")</f>
        <v>4</v>
      </c>
      <c r="J28" s="1" t="s">
        <v>22</v>
      </c>
      <c r="K28" s="1" t="s">
        <v>27</v>
      </c>
      <c r="L28" s="1" t="s">
        <v>823</v>
      </c>
      <c r="M28" s="1" t="s">
        <v>34</v>
      </c>
      <c r="N28" s="1" t="s">
        <v>33</v>
      </c>
      <c r="O28" s="1" t="s">
        <v>37</v>
      </c>
      <c r="P28" s="9" t="s">
        <v>826</v>
      </c>
      <c r="Q28" s="9" t="s">
        <v>38</v>
      </c>
      <c r="R28" s="9" t="s">
        <v>39</v>
      </c>
      <c r="S28" s="1" t="s">
        <v>55</v>
      </c>
      <c r="T28" s="1" t="s">
        <v>58</v>
      </c>
      <c r="U28" s="12">
        <v>45869</v>
      </c>
    </row>
    <row r="29" spans="1:21" x14ac:dyDescent="0.25">
      <c r="A29" s="1">
        <v>5</v>
      </c>
      <c r="B29" s="1" t="s">
        <v>242</v>
      </c>
      <c r="C29" s="1">
        <v>3</v>
      </c>
      <c r="D29" s="1" t="s">
        <v>228</v>
      </c>
      <c r="E29" s="1" t="s">
        <v>577</v>
      </c>
      <c r="F29" s="1" t="s">
        <v>229</v>
      </c>
      <c r="G29" s="1" t="str">
        <f t="shared" si="0"/>
        <v>RENTAS LOS CIPRESES LIMITADA</v>
      </c>
      <c r="H29" s="1">
        <f>COUNTIFS(RELACIONADAS!$C:$C,CLIENTES!$F29,RELACIONADAS!$G:$G,"SI")</f>
        <v>1</v>
      </c>
      <c r="I29" s="1">
        <f>COUNTIFS(RELACIONADAS!$C:$C,CLIENTES!$F29,RELACIONADAS!$H:$H,"SI")</f>
        <v>5</v>
      </c>
      <c r="J29" s="1" t="s">
        <v>22</v>
      </c>
      <c r="K29" s="1" t="s">
        <v>27</v>
      </c>
      <c r="L29" s="1" t="s">
        <v>823</v>
      </c>
      <c r="M29" s="1" t="s">
        <v>34</v>
      </c>
      <c r="N29" s="1" t="s">
        <v>33</v>
      </c>
      <c r="O29" s="1" t="s">
        <v>37</v>
      </c>
      <c r="P29" s="9" t="s">
        <v>826</v>
      </c>
      <c r="Q29" s="9" t="s">
        <v>38</v>
      </c>
      <c r="R29" s="9" t="s">
        <v>39</v>
      </c>
      <c r="S29" s="1" t="s">
        <v>55</v>
      </c>
      <c r="T29" s="1" t="s">
        <v>58</v>
      </c>
      <c r="U29" s="12">
        <v>45869</v>
      </c>
    </row>
    <row r="30" spans="1:21" x14ac:dyDescent="0.25">
      <c r="A30" s="1">
        <v>5</v>
      </c>
      <c r="B30" s="1" t="s">
        <v>242</v>
      </c>
      <c r="C30" s="1">
        <v>4</v>
      </c>
      <c r="D30" s="1" t="s">
        <v>226</v>
      </c>
      <c r="E30" s="1" t="s">
        <v>577</v>
      </c>
      <c r="F30" s="1" t="s">
        <v>227</v>
      </c>
      <c r="G30" s="1" t="str">
        <f t="shared" si="0"/>
        <v>ADMINISTRADORA EL LINGUE SPA</v>
      </c>
      <c r="H30" s="1">
        <f>COUNTIFS(RELACIONADAS!$C:$C,CLIENTES!$F30,RELACIONADAS!$G:$G,"SI")</f>
        <v>1</v>
      </c>
      <c r="I30" s="1">
        <f>COUNTIFS(RELACIONADAS!$C:$C,CLIENTES!$F30,RELACIONADAS!$H:$H,"SI")</f>
        <v>2</v>
      </c>
      <c r="J30" s="1" t="s">
        <v>22</v>
      </c>
      <c r="K30" s="1" t="s">
        <v>27</v>
      </c>
      <c r="L30" s="1" t="s">
        <v>823</v>
      </c>
      <c r="M30" s="1" t="s">
        <v>34</v>
      </c>
      <c r="N30" s="1" t="s">
        <v>33</v>
      </c>
      <c r="O30" s="1" t="s">
        <v>37</v>
      </c>
      <c r="P30" s="9" t="s">
        <v>826</v>
      </c>
      <c r="Q30" s="9" t="s">
        <v>38</v>
      </c>
      <c r="R30" s="9" t="s">
        <v>39</v>
      </c>
      <c r="S30" s="1" t="s">
        <v>55</v>
      </c>
      <c r="T30" s="1" t="s">
        <v>58</v>
      </c>
      <c r="U30" s="12">
        <v>45869</v>
      </c>
    </row>
    <row r="31" spans="1:21" x14ac:dyDescent="0.25">
      <c r="A31" s="1">
        <v>6</v>
      </c>
      <c r="B31" s="1" t="s">
        <v>516</v>
      </c>
      <c r="C31" s="1">
        <v>1</v>
      </c>
      <c r="D31" s="1" t="s">
        <v>245</v>
      </c>
      <c r="E31" s="1" t="s">
        <v>578</v>
      </c>
      <c r="F31" s="1" t="s">
        <v>246</v>
      </c>
      <c r="G31" s="1" t="str">
        <f t="shared" si="0"/>
        <v>INMOBILIARIA ZAÑARTU Y COMPAÑÍA</v>
      </c>
      <c r="H31" s="1">
        <f>COUNTIFS(RELACIONADAS!$C:$C,CLIENTES!$F31,RELACIONADAS!$G:$G,"SI")</f>
        <v>1</v>
      </c>
      <c r="I31" s="1">
        <f>COUNTIFS(RELACIONADAS!$C:$C,CLIENTES!$F31,RELACIONADAS!$H:$H,"SI")</f>
        <v>3</v>
      </c>
      <c r="J31" s="1" t="s">
        <v>22</v>
      </c>
      <c r="K31" s="1" t="s">
        <v>27</v>
      </c>
      <c r="L31" s="1" t="s">
        <v>823</v>
      </c>
      <c r="M31" s="1" t="s">
        <v>34</v>
      </c>
      <c r="N31" s="1" t="s">
        <v>33</v>
      </c>
      <c r="O31" s="1" t="s">
        <v>37</v>
      </c>
      <c r="P31" s="9" t="s">
        <v>826</v>
      </c>
      <c r="Q31" s="9" t="s">
        <v>38</v>
      </c>
      <c r="R31" s="9" t="s">
        <v>39</v>
      </c>
      <c r="S31" s="1" t="s">
        <v>55</v>
      </c>
      <c r="T31" s="1" t="s">
        <v>58</v>
      </c>
      <c r="U31" s="12">
        <v>45869</v>
      </c>
    </row>
    <row r="32" spans="1:21" x14ac:dyDescent="0.25">
      <c r="A32" s="1">
        <v>6</v>
      </c>
      <c r="B32" s="1" t="s">
        <v>516</v>
      </c>
      <c r="C32" s="1">
        <v>2</v>
      </c>
      <c r="D32" s="1" t="s">
        <v>253</v>
      </c>
      <c r="E32" s="1" t="s">
        <v>578</v>
      </c>
      <c r="F32" s="1" t="s">
        <v>254</v>
      </c>
      <c r="G32" s="1" t="str">
        <f t="shared" si="0"/>
        <v>RENTAS E INVERSIONES LAS LOMAS LIMITADA</v>
      </c>
      <c r="H32" s="1">
        <f>COUNTIFS(RELACIONADAS!$C:$C,CLIENTES!$F32,RELACIONADAS!$G:$G,"SI")</f>
        <v>2</v>
      </c>
      <c r="I32" s="1">
        <f>COUNTIFS(RELACIONADAS!$C:$C,CLIENTES!$F32,RELACIONADAS!$H:$H,"SI")</f>
        <v>2</v>
      </c>
      <c r="J32" s="1" t="s">
        <v>22</v>
      </c>
      <c r="K32" s="1" t="s">
        <v>27</v>
      </c>
      <c r="L32" s="1" t="s">
        <v>823</v>
      </c>
      <c r="M32" s="1" t="s">
        <v>34</v>
      </c>
      <c r="N32" s="1" t="s">
        <v>33</v>
      </c>
      <c r="O32" s="1" t="s">
        <v>37</v>
      </c>
      <c r="P32" s="9" t="s">
        <v>826</v>
      </c>
      <c r="Q32" s="9" t="s">
        <v>38</v>
      </c>
      <c r="R32" s="9" t="s">
        <v>39</v>
      </c>
      <c r="S32" s="1" t="s">
        <v>55</v>
      </c>
      <c r="T32" s="1" t="s">
        <v>58</v>
      </c>
      <c r="U32" s="12">
        <v>45869</v>
      </c>
    </row>
    <row r="33" spans="1:21" x14ac:dyDescent="0.25">
      <c r="A33" s="1">
        <v>6</v>
      </c>
      <c r="B33" s="1" t="s">
        <v>516</v>
      </c>
      <c r="C33" s="1">
        <v>3</v>
      </c>
      <c r="D33" s="1" t="s">
        <v>255</v>
      </c>
      <c r="E33" s="1" t="s">
        <v>578</v>
      </c>
      <c r="F33" s="1" t="s">
        <v>256</v>
      </c>
      <c r="G33" s="1" t="str">
        <f t="shared" si="0"/>
        <v>INVERSIONES MANUEL ANTONIO ERRAZURIZ LIMITADA</v>
      </c>
      <c r="H33" s="1">
        <f>COUNTIFS(RELACIONADAS!$C:$C,CLIENTES!$F33,RELACIONADAS!$G:$G,"SI")</f>
        <v>1</v>
      </c>
      <c r="I33" s="1">
        <f>COUNTIFS(RELACIONADAS!$C:$C,CLIENTES!$F33,RELACIONADAS!$H:$H,"SI")</f>
        <v>3</v>
      </c>
      <c r="J33" s="1" t="s">
        <v>22</v>
      </c>
      <c r="K33" s="1" t="s">
        <v>27</v>
      </c>
      <c r="L33" s="1" t="s">
        <v>823</v>
      </c>
      <c r="M33" s="1" t="s">
        <v>34</v>
      </c>
      <c r="N33" s="1" t="s">
        <v>32</v>
      </c>
      <c r="O33" s="1" t="s">
        <v>37</v>
      </c>
      <c r="P33" s="9" t="s">
        <v>826</v>
      </c>
      <c r="Q33" s="9" t="s">
        <v>38</v>
      </c>
      <c r="R33" s="9" t="s">
        <v>39</v>
      </c>
      <c r="S33" s="1" t="s">
        <v>55</v>
      </c>
      <c r="T33" s="1" t="s">
        <v>58</v>
      </c>
      <c r="U33" s="12">
        <v>45869</v>
      </c>
    </row>
    <row r="34" spans="1:21" x14ac:dyDescent="0.25">
      <c r="A34" s="1">
        <v>6</v>
      </c>
      <c r="B34" s="1" t="s">
        <v>516</v>
      </c>
      <c r="C34" s="1">
        <v>4</v>
      </c>
      <c r="D34" s="1" t="s">
        <v>257</v>
      </c>
      <c r="E34" s="1" t="s">
        <v>578</v>
      </c>
      <c r="F34" s="1" t="s">
        <v>258</v>
      </c>
      <c r="G34" s="1" t="str">
        <f t="shared" si="0"/>
        <v>ADMINISTRADORA ARIZCUN LIMITADA</v>
      </c>
      <c r="H34" s="1">
        <f>COUNTIFS(RELACIONADAS!$C:$C,CLIENTES!$F34,RELACIONADAS!$G:$G,"SI")</f>
        <v>1</v>
      </c>
      <c r="I34" s="1">
        <f>COUNTIFS(RELACIONADAS!$C:$C,CLIENTES!$F34,RELACIONADAS!$H:$H,"SI")</f>
        <v>2</v>
      </c>
      <c r="J34" s="1" t="s">
        <v>22</v>
      </c>
      <c r="K34" s="1" t="s">
        <v>27</v>
      </c>
      <c r="L34" s="1" t="s">
        <v>823</v>
      </c>
      <c r="M34" s="1" t="s">
        <v>34</v>
      </c>
      <c r="N34" s="1" t="s">
        <v>33</v>
      </c>
      <c r="O34" s="1" t="s">
        <v>37</v>
      </c>
      <c r="P34" s="9" t="s">
        <v>826</v>
      </c>
      <c r="Q34" s="9" t="s">
        <v>38</v>
      </c>
      <c r="R34" s="9" t="s">
        <v>39</v>
      </c>
      <c r="S34" s="1" t="s">
        <v>55</v>
      </c>
      <c r="T34" s="1" t="s">
        <v>58</v>
      </c>
      <c r="U34" s="12">
        <v>45869</v>
      </c>
    </row>
    <row r="35" spans="1:21" x14ac:dyDescent="0.25">
      <c r="A35" s="1">
        <v>7</v>
      </c>
      <c r="B35" s="1" t="s">
        <v>524</v>
      </c>
      <c r="C35" s="1">
        <v>1</v>
      </c>
      <c r="D35" s="1" t="s">
        <v>517</v>
      </c>
      <c r="E35" s="1" t="s">
        <v>518</v>
      </c>
      <c r="F35" s="1" t="s">
        <v>261</v>
      </c>
      <c r="G35" s="1" t="str">
        <f t="shared" si="0"/>
        <v>LAS BRISAS  SPA</v>
      </c>
      <c r="H35" s="1">
        <f>COUNTIFS(RELACIONADAS!$C:$C,CLIENTES!$F35,RELACIONADAS!$G:$G,"SI")</f>
        <v>1</v>
      </c>
      <c r="I35" s="1">
        <f>COUNTIFS(RELACIONADAS!$C:$C,CLIENTES!$F35,RELACIONADAS!$H:$H,"SI")</f>
        <v>1</v>
      </c>
      <c r="J35" s="1" t="s">
        <v>22</v>
      </c>
      <c r="K35" s="1" t="s">
        <v>27</v>
      </c>
      <c r="L35" s="1" t="s">
        <v>823</v>
      </c>
      <c r="M35" s="1" t="s">
        <v>34</v>
      </c>
      <c r="N35" s="1" t="s">
        <v>31</v>
      </c>
      <c r="O35" s="1" t="s">
        <v>37</v>
      </c>
      <c r="P35" s="9" t="s">
        <v>826</v>
      </c>
      <c r="Q35" s="9" t="s">
        <v>38</v>
      </c>
      <c r="R35" s="9" t="s">
        <v>39</v>
      </c>
      <c r="S35" s="1" t="s">
        <v>55</v>
      </c>
      <c r="T35" s="1" t="s">
        <v>58</v>
      </c>
      <c r="U35" s="12">
        <v>45869</v>
      </c>
    </row>
    <row r="36" spans="1:21" x14ac:dyDescent="0.25">
      <c r="A36" s="1">
        <v>7</v>
      </c>
      <c r="B36" s="1" t="s">
        <v>524</v>
      </c>
      <c r="C36" s="1">
        <v>2</v>
      </c>
      <c r="D36" s="1" t="s">
        <v>264</v>
      </c>
      <c r="E36" s="1" t="s">
        <v>519</v>
      </c>
      <c r="F36" s="1" t="s">
        <v>265</v>
      </c>
      <c r="G36" s="1" t="str">
        <f t="shared" si="0"/>
        <v>INVERSIONES HACHI SPA</v>
      </c>
      <c r="H36" s="1">
        <f>COUNTIFS(RELACIONADAS!$C:$C,CLIENTES!$F36,RELACIONADAS!$G:$G,"SI")</f>
        <v>1</v>
      </c>
      <c r="I36" s="1">
        <f>COUNTIFS(RELACIONADAS!$C:$C,CLIENTES!$F36,RELACIONADAS!$H:$H,"SI")</f>
        <v>1</v>
      </c>
      <c r="J36" s="1" t="s">
        <v>22</v>
      </c>
      <c r="K36" s="1" t="s">
        <v>27</v>
      </c>
      <c r="L36" s="1" t="s">
        <v>823</v>
      </c>
      <c r="M36" s="1" t="s">
        <v>34</v>
      </c>
      <c r="N36" s="1" t="s">
        <v>32</v>
      </c>
      <c r="O36" s="1" t="s">
        <v>37</v>
      </c>
      <c r="P36" s="9" t="s">
        <v>826</v>
      </c>
      <c r="Q36" s="9" t="s">
        <v>38</v>
      </c>
      <c r="R36" s="9" t="s">
        <v>39</v>
      </c>
      <c r="S36" s="1" t="s">
        <v>55</v>
      </c>
      <c r="T36" s="1" t="s">
        <v>58</v>
      </c>
      <c r="U36" s="12">
        <v>45869</v>
      </c>
    </row>
    <row r="37" spans="1:21" x14ac:dyDescent="0.25">
      <c r="A37" s="1">
        <v>7</v>
      </c>
      <c r="B37" s="1" t="s">
        <v>524</v>
      </c>
      <c r="C37" s="1">
        <v>3</v>
      </c>
      <c r="D37" s="1" t="s">
        <v>262</v>
      </c>
      <c r="E37" s="1" t="s">
        <v>520</v>
      </c>
      <c r="F37" s="1" t="s">
        <v>263</v>
      </c>
      <c r="G37" s="1" t="str">
        <f t="shared" si="0"/>
        <v>WALLY MITTERMAYR COZZI</v>
      </c>
      <c r="H37" s="1">
        <f>COUNTIFS(RELACIONADAS!$C:$C,CLIENTES!$F37,RELACIONADAS!$G:$G,"SI")</f>
        <v>1</v>
      </c>
      <c r="I37" s="1">
        <f>COUNTIFS(RELACIONADAS!$C:$C,CLIENTES!$F37,RELACIONADAS!$H:$H,"SI")</f>
        <v>1</v>
      </c>
      <c r="J37" s="1" t="s">
        <v>22</v>
      </c>
      <c r="K37" s="1" t="s">
        <v>27</v>
      </c>
      <c r="L37" s="1" t="s">
        <v>823</v>
      </c>
      <c r="M37" s="1" t="s">
        <v>34</v>
      </c>
      <c r="N37" s="1" t="s">
        <v>32</v>
      </c>
      <c r="O37" s="1" t="s">
        <v>37</v>
      </c>
      <c r="P37" s="9" t="s">
        <v>826</v>
      </c>
      <c r="Q37" s="9" t="s">
        <v>38</v>
      </c>
      <c r="R37" s="9" t="s">
        <v>39</v>
      </c>
      <c r="S37" s="1" t="s">
        <v>55</v>
      </c>
      <c r="T37" s="1" t="s">
        <v>58</v>
      </c>
      <c r="U37" s="12">
        <v>45869</v>
      </c>
    </row>
    <row r="38" spans="1:21" x14ac:dyDescent="0.25">
      <c r="A38" s="1">
        <v>8</v>
      </c>
      <c r="B38" s="1" t="s">
        <v>525</v>
      </c>
      <c r="C38" s="1">
        <v>1</v>
      </c>
      <c r="D38" s="1" t="s">
        <v>266</v>
      </c>
      <c r="E38" s="1" t="s">
        <v>521</v>
      </c>
      <c r="F38" s="1" t="s">
        <v>267</v>
      </c>
      <c r="G38" s="1" t="str">
        <f t="shared" si="0"/>
        <v>INVERSIONES EL AVELLANO LIMITADA</v>
      </c>
      <c r="H38" s="1">
        <f>COUNTIFS(RELACIONADAS!$C:$C,CLIENTES!$F38,RELACIONADAS!$G:$G,"SI")</f>
        <v>2</v>
      </c>
      <c r="I38" s="1">
        <f>COUNTIFS(RELACIONADAS!$C:$C,CLIENTES!$F38,RELACIONADAS!$H:$H,"SI")</f>
        <v>8</v>
      </c>
      <c r="J38" s="1" t="s">
        <v>22</v>
      </c>
      <c r="K38" s="1" t="s">
        <v>27</v>
      </c>
      <c r="L38" s="1" t="s">
        <v>823</v>
      </c>
      <c r="M38" s="1" t="s">
        <v>34</v>
      </c>
      <c r="N38" s="1" t="s">
        <v>32</v>
      </c>
      <c r="O38" s="1" t="s">
        <v>37</v>
      </c>
      <c r="P38" s="9" t="s">
        <v>826</v>
      </c>
      <c r="Q38" s="9" t="s">
        <v>38</v>
      </c>
      <c r="R38" s="9" t="s">
        <v>39</v>
      </c>
      <c r="S38" s="1" t="s">
        <v>55</v>
      </c>
      <c r="T38" s="1" t="s">
        <v>58</v>
      </c>
      <c r="U38" s="12">
        <v>45869</v>
      </c>
    </row>
    <row r="39" spans="1:21" x14ac:dyDescent="0.25">
      <c r="A39" s="1">
        <v>8</v>
      </c>
      <c r="B39" s="1" t="s">
        <v>525</v>
      </c>
      <c r="C39" s="1">
        <v>2</v>
      </c>
      <c r="D39" s="1" t="s">
        <v>270</v>
      </c>
      <c r="E39" s="1" t="s">
        <v>522</v>
      </c>
      <c r="F39" s="1" t="s">
        <v>271</v>
      </c>
      <c r="G39" s="1" t="str">
        <f t="shared" si="0"/>
        <v>MARIA PAZ RICHARD ROGERS</v>
      </c>
      <c r="H39" s="1">
        <f>COUNTIFS(RELACIONADAS!$C:$C,CLIENTES!$F39,RELACIONADAS!$G:$G,"SI")</f>
        <v>1</v>
      </c>
      <c r="I39" s="1">
        <f>COUNTIFS(RELACIONADAS!$C:$C,CLIENTES!$F39,RELACIONADAS!$H:$H,"SI")</f>
        <v>1</v>
      </c>
      <c r="J39" s="1" t="s">
        <v>22</v>
      </c>
      <c r="K39" s="1" t="s">
        <v>27</v>
      </c>
      <c r="L39" s="1" t="s">
        <v>823</v>
      </c>
      <c r="M39" s="1" t="s">
        <v>34</v>
      </c>
      <c r="N39" s="1" t="s">
        <v>33</v>
      </c>
      <c r="O39" s="1" t="s">
        <v>37</v>
      </c>
      <c r="P39" s="9" t="s">
        <v>826</v>
      </c>
      <c r="Q39" s="9" t="s">
        <v>38</v>
      </c>
      <c r="R39" s="9" t="s">
        <v>39</v>
      </c>
      <c r="S39" s="1" t="s">
        <v>55</v>
      </c>
      <c r="T39" s="1" t="s">
        <v>58</v>
      </c>
      <c r="U39" s="12">
        <v>45869</v>
      </c>
    </row>
    <row r="40" spans="1:21" x14ac:dyDescent="0.25">
      <c r="A40" s="1">
        <v>9</v>
      </c>
      <c r="B40" s="1" t="s">
        <v>526</v>
      </c>
      <c r="C40" s="1">
        <v>1</v>
      </c>
      <c r="D40" s="1" t="s">
        <v>284</v>
      </c>
      <c r="E40" s="1" t="s">
        <v>523</v>
      </c>
      <c r="F40" s="1" t="s">
        <v>285</v>
      </c>
      <c r="G40" s="1" t="str">
        <f t="shared" si="0"/>
        <v>INVERSIONES LOS FRESNOS SPA</v>
      </c>
      <c r="H40" s="1">
        <f>COUNTIFS(RELACIONADAS!$C:$C,CLIENTES!$F40,RELACIONADAS!$G:$G,"SI")</f>
        <v>4</v>
      </c>
      <c r="I40" s="1">
        <f>COUNTIFS(RELACIONADAS!$C:$C,CLIENTES!$F40,RELACIONADAS!$H:$H,"SI")</f>
        <v>30</v>
      </c>
      <c r="J40" s="1" t="s">
        <v>22</v>
      </c>
      <c r="K40" s="1" t="s">
        <v>27</v>
      </c>
      <c r="L40" s="1" t="s">
        <v>823</v>
      </c>
      <c r="M40" s="1" t="s">
        <v>34</v>
      </c>
      <c r="N40" s="1" t="s">
        <v>32</v>
      </c>
      <c r="O40" s="1" t="s">
        <v>37</v>
      </c>
      <c r="P40" s="9" t="s">
        <v>826</v>
      </c>
      <c r="Q40" s="9" t="s">
        <v>38</v>
      </c>
      <c r="R40" s="9" t="s">
        <v>39</v>
      </c>
      <c r="S40" s="1" t="s">
        <v>55</v>
      </c>
      <c r="T40" s="1" t="s">
        <v>58</v>
      </c>
      <c r="U40" s="12">
        <v>45869</v>
      </c>
    </row>
    <row r="41" spans="1:21" x14ac:dyDescent="0.25">
      <c r="A41" s="1">
        <v>9</v>
      </c>
      <c r="B41" s="1" t="s">
        <v>526</v>
      </c>
      <c r="C41" s="1">
        <v>2</v>
      </c>
      <c r="D41" s="1" t="s">
        <v>350</v>
      </c>
      <c r="E41" s="1" t="s">
        <v>527</v>
      </c>
      <c r="F41" s="1" t="s">
        <v>573</v>
      </c>
      <c r="G41" s="1" t="str">
        <f t="shared" si="0"/>
        <v>COMUNIDAD FERNANDEZ-GARCIA</v>
      </c>
      <c r="H41" s="1">
        <f>COUNTIFS(RELACIONADAS!$C:$C,CLIENTES!$F41,RELACIONADAS!$G:$G,"SI")</f>
        <v>2</v>
      </c>
      <c r="I41" s="1">
        <f>COUNTIFS(RELACIONADAS!$C:$C,CLIENTES!$F41,RELACIONADAS!$H:$H,"SI")</f>
        <v>2</v>
      </c>
      <c r="J41" s="1" t="s">
        <v>22</v>
      </c>
      <c r="K41" s="1" t="s">
        <v>27</v>
      </c>
      <c r="L41" s="1" t="s">
        <v>823</v>
      </c>
      <c r="M41" s="1" t="s">
        <v>34</v>
      </c>
      <c r="N41" s="1" t="s">
        <v>31</v>
      </c>
      <c r="O41" s="1" t="s">
        <v>37</v>
      </c>
      <c r="P41" s="9" t="s">
        <v>826</v>
      </c>
      <c r="Q41" s="9" t="s">
        <v>38</v>
      </c>
      <c r="R41" s="9" t="s">
        <v>39</v>
      </c>
      <c r="S41" s="1" t="s">
        <v>55</v>
      </c>
      <c r="T41" s="1" t="s">
        <v>58</v>
      </c>
      <c r="U41" s="12">
        <v>45869</v>
      </c>
    </row>
    <row r="42" spans="1:21" x14ac:dyDescent="0.25">
      <c r="A42" s="1">
        <v>9</v>
      </c>
      <c r="B42" s="1" t="s">
        <v>526</v>
      </c>
      <c r="C42" s="1">
        <v>3</v>
      </c>
      <c r="D42" s="1" t="s">
        <v>312</v>
      </c>
      <c r="E42" s="1" t="s">
        <v>528</v>
      </c>
      <c r="F42" s="1" t="s">
        <v>313</v>
      </c>
      <c r="G42" s="1" t="str">
        <f t="shared" si="0"/>
        <v>INVERSIONES HFG LIMITADA</v>
      </c>
      <c r="H42" s="1">
        <f>COUNTIFS(RELACIONADAS!$C:$C,CLIENTES!$F42,RELACIONADAS!$G:$G,"SI")</f>
        <v>3</v>
      </c>
      <c r="I42" s="1">
        <f>COUNTIFS(RELACIONADAS!$C:$C,CLIENTES!$F42,RELACIONADAS!$H:$H,"SI")</f>
        <v>7</v>
      </c>
      <c r="J42" s="1" t="s">
        <v>22</v>
      </c>
      <c r="K42" s="1" t="s">
        <v>27</v>
      </c>
      <c r="L42" s="1" t="s">
        <v>823</v>
      </c>
      <c r="M42" s="1" t="s">
        <v>34</v>
      </c>
      <c r="N42" s="1" t="s">
        <v>33</v>
      </c>
      <c r="O42" s="1" t="s">
        <v>37</v>
      </c>
      <c r="P42" s="9" t="s">
        <v>826</v>
      </c>
      <c r="Q42" s="9" t="s">
        <v>38</v>
      </c>
      <c r="R42" s="9" t="s">
        <v>39</v>
      </c>
      <c r="S42" s="1" t="s">
        <v>55</v>
      </c>
      <c r="T42" s="1" t="s">
        <v>58</v>
      </c>
      <c r="U42" s="12">
        <v>45869</v>
      </c>
    </row>
    <row r="43" spans="1:21" x14ac:dyDescent="0.25">
      <c r="A43" s="1">
        <v>9</v>
      </c>
      <c r="B43" s="1" t="s">
        <v>526</v>
      </c>
      <c r="C43" s="1">
        <v>4</v>
      </c>
      <c r="D43" s="1" t="s">
        <v>365</v>
      </c>
      <c r="E43" s="1" t="s">
        <v>529</v>
      </c>
      <c r="F43" s="1" t="s">
        <v>366</v>
      </c>
      <c r="G43" s="1" t="str">
        <f t="shared" si="0"/>
        <v>AGRICOLA JFV SPA</v>
      </c>
      <c r="H43" s="1">
        <f>COUNTIFS(RELACIONADAS!$C:$C,CLIENTES!$F43,RELACIONADAS!$G:$G,"SI")</f>
        <v>3</v>
      </c>
      <c r="I43" s="1">
        <f>COUNTIFS(RELACIONADAS!$C:$C,CLIENTES!$F43,RELACIONADAS!$H:$H,"SI")</f>
        <v>1</v>
      </c>
      <c r="J43" s="1" t="s">
        <v>22</v>
      </c>
      <c r="K43" s="1" t="s">
        <v>27</v>
      </c>
      <c r="L43" s="1" t="s">
        <v>823</v>
      </c>
      <c r="M43" s="1" t="s">
        <v>34</v>
      </c>
      <c r="N43" s="1" t="s">
        <v>31</v>
      </c>
      <c r="O43" s="1" t="s">
        <v>37</v>
      </c>
      <c r="P43" s="9" t="s">
        <v>826</v>
      </c>
      <c r="Q43" s="9" t="s">
        <v>38</v>
      </c>
      <c r="R43" s="9" t="s">
        <v>39</v>
      </c>
      <c r="S43" s="1" t="s">
        <v>55</v>
      </c>
      <c r="T43" s="1" t="s">
        <v>58</v>
      </c>
      <c r="U43" s="12">
        <v>45869</v>
      </c>
    </row>
    <row r="44" spans="1:21" x14ac:dyDescent="0.25">
      <c r="A44" s="1">
        <v>10</v>
      </c>
      <c r="B44" s="1" t="s">
        <v>553</v>
      </c>
      <c r="C44" s="1">
        <v>1</v>
      </c>
      <c r="D44" s="1" t="s">
        <v>367</v>
      </c>
      <c r="E44" s="1" t="s">
        <v>531</v>
      </c>
      <c r="F44" s="1" t="s">
        <v>574</v>
      </c>
      <c r="G44" s="1" t="str">
        <f t="shared" si="0"/>
        <v>INVERSIONES AUQUINCO INTERNACIONAL SPA</v>
      </c>
      <c r="H44" s="1">
        <f>COUNTIFS(RELACIONADAS!$C:$C,CLIENTES!$F44,RELACIONADAS!$G:$G,"SI")</f>
        <v>1</v>
      </c>
      <c r="I44" s="1">
        <f>COUNTIFS(RELACIONADAS!$C:$C,CLIENTES!$F44,RELACIONADAS!$H:$H,"SI")</f>
        <v>1</v>
      </c>
      <c r="J44" s="1" t="s">
        <v>22</v>
      </c>
      <c r="K44" s="1" t="s">
        <v>27</v>
      </c>
      <c r="L44" s="1" t="s">
        <v>823</v>
      </c>
      <c r="M44" s="1" t="s">
        <v>34</v>
      </c>
      <c r="N44" s="1" t="s">
        <v>31</v>
      </c>
      <c r="O44" s="1" t="s">
        <v>37</v>
      </c>
      <c r="P44" s="9" t="s">
        <v>826</v>
      </c>
      <c r="Q44" s="9" t="s">
        <v>38</v>
      </c>
      <c r="R44" s="9" t="s">
        <v>39</v>
      </c>
      <c r="S44" s="1" t="s">
        <v>55</v>
      </c>
      <c r="T44" s="1" t="s">
        <v>58</v>
      </c>
      <c r="U44" s="12">
        <v>45869</v>
      </c>
    </row>
    <row r="45" spans="1:21" x14ac:dyDescent="0.25">
      <c r="A45" s="1">
        <v>10</v>
      </c>
      <c r="B45" s="1" t="s">
        <v>553</v>
      </c>
      <c r="C45" s="1">
        <v>2</v>
      </c>
      <c r="D45" s="1" t="s">
        <v>370</v>
      </c>
      <c r="E45" s="1" t="s">
        <v>530</v>
      </c>
      <c r="F45" s="1" t="s">
        <v>371</v>
      </c>
      <c r="G45" s="1" t="str">
        <f t="shared" si="0"/>
        <v>INVERSIONES AUQUINCO LIMITADA</v>
      </c>
      <c r="H45" s="1">
        <f>COUNTIFS(RELACIONADAS!$C:$C,CLIENTES!$F45,RELACIONADAS!$G:$G,"SI")</f>
        <v>2</v>
      </c>
      <c r="I45" s="1">
        <f>COUNTIFS(RELACIONADAS!$C:$C,CLIENTES!$F45,RELACIONADAS!$H:$H,"SI")</f>
        <v>5</v>
      </c>
      <c r="J45" s="1" t="s">
        <v>22</v>
      </c>
      <c r="K45" s="1" t="s">
        <v>27</v>
      </c>
      <c r="L45" s="1" t="s">
        <v>823</v>
      </c>
      <c r="M45" s="1" t="s">
        <v>34</v>
      </c>
      <c r="N45" s="1" t="s">
        <v>32</v>
      </c>
      <c r="O45" s="1" t="s">
        <v>37</v>
      </c>
      <c r="P45" s="9" t="s">
        <v>826</v>
      </c>
      <c r="Q45" s="9" t="s">
        <v>38</v>
      </c>
      <c r="R45" s="9" t="s">
        <v>39</v>
      </c>
      <c r="S45" s="1" t="s">
        <v>55</v>
      </c>
      <c r="T45" s="1" t="s">
        <v>58</v>
      </c>
      <c r="U45" s="12">
        <v>45869</v>
      </c>
    </row>
    <row r="46" spans="1:21" x14ac:dyDescent="0.25">
      <c r="A46" s="1">
        <v>10</v>
      </c>
      <c r="B46" s="1" t="s">
        <v>553</v>
      </c>
      <c r="C46" s="1">
        <v>3</v>
      </c>
      <c r="D46" s="1" t="s">
        <v>378</v>
      </c>
      <c r="E46" s="1" t="s">
        <v>532</v>
      </c>
      <c r="F46" s="1" t="s">
        <v>379</v>
      </c>
      <c r="G46" s="1" t="str">
        <f t="shared" si="0"/>
        <v>ASESORIAS E INVERSIONES CW LIMITADA</v>
      </c>
      <c r="H46" s="1">
        <f>COUNTIFS(RELACIONADAS!$C:$C,CLIENTES!$F46,RELACIONADAS!$G:$G,"SI")</f>
        <v>1</v>
      </c>
      <c r="I46" s="1">
        <f>COUNTIFS(RELACIONADAS!$C:$C,CLIENTES!$F46,RELACIONADAS!$H:$H,"SI")</f>
        <v>6</v>
      </c>
      <c r="J46" s="1" t="s">
        <v>22</v>
      </c>
      <c r="K46" s="1" t="s">
        <v>27</v>
      </c>
      <c r="L46" s="1" t="s">
        <v>823</v>
      </c>
      <c r="M46" s="1" t="s">
        <v>34</v>
      </c>
      <c r="N46" s="1" t="s">
        <v>32</v>
      </c>
      <c r="O46" s="1" t="s">
        <v>37</v>
      </c>
      <c r="P46" s="9" t="s">
        <v>826</v>
      </c>
      <c r="Q46" s="9" t="s">
        <v>38</v>
      </c>
      <c r="R46" s="9" t="s">
        <v>39</v>
      </c>
      <c r="S46" s="1" t="s">
        <v>55</v>
      </c>
      <c r="T46" s="1" t="s">
        <v>58</v>
      </c>
      <c r="U46" s="12">
        <v>45869</v>
      </c>
    </row>
    <row r="47" spans="1:21" x14ac:dyDescent="0.25">
      <c r="A47" s="1">
        <v>10</v>
      </c>
      <c r="B47" s="1" t="s">
        <v>553</v>
      </c>
      <c r="C47" s="1">
        <v>4</v>
      </c>
      <c r="D47" s="1" t="s">
        <v>376</v>
      </c>
      <c r="E47" s="1" t="s">
        <v>533</v>
      </c>
      <c r="F47" s="1" t="s">
        <v>377</v>
      </c>
      <c r="G47" s="1" t="str">
        <f t="shared" si="0"/>
        <v>ADMINISTRADORA CP SPA</v>
      </c>
      <c r="H47" s="1">
        <f>COUNTIFS(RELACIONADAS!$C:$C,CLIENTES!$F47,RELACIONADAS!$G:$G,"SI")</f>
        <v>1</v>
      </c>
      <c r="I47" s="1">
        <f>COUNTIFS(RELACIONADAS!$C:$C,CLIENTES!$F47,RELACIONADAS!$H:$H,"SI")</f>
        <v>2</v>
      </c>
      <c r="J47" s="1" t="s">
        <v>22</v>
      </c>
      <c r="K47" s="1" t="s">
        <v>27</v>
      </c>
      <c r="L47" s="1" t="s">
        <v>823</v>
      </c>
      <c r="M47" s="1" t="s">
        <v>34</v>
      </c>
      <c r="N47" s="1" t="s">
        <v>33</v>
      </c>
      <c r="O47" s="1" t="s">
        <v>37</v>
      </c>
      <c r="P47" s="9" t="s">
        <v>826</v>
      </c>
      <c r="Q47" s="9" t="s">
        <v>38</v>
      </c>
      <c r="R47" s="9" t="s">
        <v>39</v>
      </c>
      <c r="S47" s="1" t="s">
        <v>55</v>
      </c>
      <c r="T47" s="1" t="s">
        <v>58</v>
      </c>
      <c r="U47" s="12">
        <v>45869</v>
      </c>
    </row>
    <row r="48" spans="1:21" x14ac:dyDescent="0.25">
      <c r="A48" s="1">
        <v>11</v>
      </c>
      <c r="B48" s="1" t="s">
        <v>554</v>
      </c>
      <c r="C48" s="1">
        <v>1</v>
      </c>
      <c r="D48" s="1" t="s">
        <v>390</v>
      </c>
      <c r="E48" s="1" t="s">
        <v>534</v>
      </c>
      <c r="F48" s="1" t="s">
        <v>391</v>
      </c>
      <c r="G48" s="1" t="str">
        <f t="shared" si="0"/>
        <v>AGRICOLA Y FORESTAL HALLULLAS LIMITADA</v>
      </c>
      <c r="H48" s="1">
        <f>COUNTIFS(RELACIONADAS!$C:$C,CLIENTES!$F48,RELACIONADAS!$G:$G,"SI")</f>
        <v>2</v>
      </c>
      <c r="I48" s="1">
        <f>COUNTIFS(RELACIONADAS!$C:$C,CLIENTES!$F48,RELACIONADAS!$H:$H,"SI")</f>
        <v>3</v>
      </c>
      <c r="J48" s="1" t="s">
        <v>22</v>
      </c>
      <c r="K48" s="1" t="s">
        <v>27</v>
      </c>
      <c r="L48" s="1" t="s">
        <v>823</v>
      </c>
      <c r="M48" s="1" t="s">
        <v>34</v>
      </c>
      <c r="N48" s="1" t="s">
        <v>32</v>
      </c>
      <c r="O48" s="1" t="s">
        <v>36</v>
      </c>
      <c r="P48" s="9" t="s">
        <v>38</v>
      </c>
      <c r="Q48" s="9" t="s">
        <v>38</v>
      </c>
      <c r="R48" s="9" t="s">
        <v>39</v>
      </c>
      <c r="S48" s="1" t="s">
        <v>55</v>
      </c>
      <c r="T48" s="1" t="s">
        <v>58</v>
      </c>
      <c r="U48" s="12">
        <v>45869</v>
      </c>
    </row>
    <row r="49" spans="1:21" x14ac:dyDescent="0.25">
      <c r="A49" s="1">
        <v>11</v>
      </c>
      <c r="B49" s="1" t="s">
        <v>554</v>
      </c>
      <c r="C49" s="1">
        <v>2</v>
      </c>
      <c r="D49" s="1" t="s">
        <v>821</v>
      </c>
      <c r="E49" s="1" t="s">
        <v>535</v>
      </c>
      <c r="F49" s="1" t="s">
        <v>397</v>
      </c>
      <c r="G49" s="1" t="str">
        <f t="shared" si="0"/>
        <v>INVERSIONES OCTAEDRO SA</v>
      </c>
      <c r="H49" s="1">
        <f>COUNTIFS(RELACIONADAS!$C:$C,CLIENTES!$F49,RELACIONADAS!$G:$G,"SI")</f>
        <v>1</v>
      </c>
      <c r="I49" s="1">
        <f>COUNTIFS(RELACIONADAS!$C:$C,CLIENTES!$F49,RELACIONADAS!$H:$H,"SI")</f>
        <v>8</v>
      </c>
      <c r="J49" s="1" t="s">
        <v>22</v>
      </c>
      <c r="K49" s="1" t="s">
        <v>27</v>
      </c>
      <c r="L49" s="1" t="s">
        <v>823</v>
      </c>
      <c r="M49" s="1" t="s">
        <v>34</v>
      </c>
      <c r="N49" s="1" t="s">
        <v>32</v>
      </c>
      <c r="O49" s="1" t="s">
        <v>36</v>
      </c>
      <c r="P49" s="9" t="s">
        <v>38</v>
      </c>
      <c r="Q49" s="9" t="s">
        <v>38</v>
      </c>
      <c r="R49" s="9" t="s">
        <v>39</v>
      </c>
      <c r="S49" s="1" t="s">
        <v>55</v>
      </c>
      <c r="T49" s="1" t="s">
        <v>58</v>
      </c>
      <c r="U49" s="12">
        <v>45869</v>
      </c>
    </row>
    <row r="50" spans="1:21" x14ac:dyDescent="0.25">
      <c r="A50" s="1">
        <v>11</v>
      </c>
      <c r="B50" s="1" t="s">
        <v>554</v>
      </c>
      <c r="C50" s="1">
        <v>3</v>
      </c>
      <c r="D50" s="1" t="s">
        <v>414</v>
      </c>
      <c r="E50" s="1" t="s">
        <v>536</v>
      </c>
      <c r="F50" s="1" t="s">
        <v>415</v>
      </c>
      <c r="G50" s="1" t="str">
        <f t="shared" si="0"/>
        <v>INMOBILIARIA EL ROBLE LIMITADA</v>
      </c>
      <c r="H50" s="1">
        <f>COUNTIFS(RELACIONADAS!$C:$C,CLIENTES!$F50,RELACIONADAS!$G:$G,"SI")</f>
        <v>2</v>
      </c>
      <c r="I50" s="1">
        <f>COUNTIFS(RELACIONADAS!$C:$C,CLIENTES!$F50,RELACIONADAS!$H:$H,"SI")</f>
        <v>2</v>
      </c>
      <c r="J50" s="1" t="s">
        <v>22</v>
      </c>
      <c r="K50" s="1" t="s">
        <v>27</v>
      </c>
      <c r="L50" s="1" t="s">
        <v>823</v>
      </c>
      <c r="M50" s="1" t="s">
        <v>34</v>
      </c>
      <c r="N50" s="1" t="s">
        <v>32</v>
      </c>
      <c r="O50" s="1" t="s">
        <v>36</v>
      </c>
      <c r="P50" s="9" t="s">
        <v>38</v>
      </c>
      <c r="Q50" s="9" t="s">
        <v>38</v>
      </c>
      <c r="R50" s="9" t="s">
        <v>39</v>
      </c>
      <c r="S50" s="1" t="s">
        <v>55</v>
      </c>
      <c r="T50" s="1" t="s">
        <v>58</v>
      </c>
      <c r="U50" s="12">
        <v>45869</v>
      </c>
    </row>
    <row r="51" spans="1:21" x14ac:dyDescent="0.25">
      <c r="A51" s="1">
        <v>12</v>
      </c>
      <c r="B51" s="1" t="s">
        <v>555</v>
      </c>
      <c r="C51" s="1">
        <v>1</v>
      </c>
      <c r="D51" s="1" t="s">
        <v>822</v>
      </c>
      <c r="E51" s="1" t="s">
        <v>537</v>
      </c>
      <c r="F51" s="1" t="s">
        <v>416</v>
      </c>
      <c r="G51" s="1" t="str">
        <f t="shared" si="0"/>
        <v>AGRICOLA MONTE TAMAYA SA</v>
      </c>
      <c r="H51" s="1">
        <f>COUNTIFS(RELACIONADAS!$C:$C,CLIENTES!$F51,RELACIONADAS!$G:$G,"SI")</f>
        <v>1</v>
      </c>
      <c r="I51" s="1">
        <f>COUNTIFS(RELACIONADAS!$C:$C,CLIENTES!$F51,RELACIONADAS!$H:$H,"SI")</f>
        <v>4</v>
      </c>
      <c r="J51" s="1" t="s">
        <v>22</v>
      </c>
      <c r="K51" s="1" t="s">
        <v>27</v>
      </c>
      <c r="L51" s="1" t="s">
        <v>823</v>
      </c>
      <c r="M51" s="1" t="s">
        <v>34</v>
      </c>
      <c r="N51" s="1" t="s">
        <v>33</v>
      </c>
      <c r="O51" s="1" t="s">
        <v>36</v>
      </c>
      <c r="P51" s="9" t="s">
        <v>38</v>
      </c>
      <c r="Q51" s="9" t="s">
        <v>38</v>
      </c>
      <c r="R51" s="9" t="s">
        <v>39</v>
      </c>
      <c r="S51" s="1" t="s">
        <v>55</v>
      </c>
      <c r="T51" s="1" t="s">
        <v>58</v>
      </c>
      <c r="U51" s="12">
        <v>45869</v>
      </c>
    </row>
    <row r="52" spans="1:21" x14ac:dyDescent="0.25">
      <c r="A52" s="1">
        <v>13</v>
      </c>
      <c r="B52" s="1" t="s">
        <v>556</v>
      </c>
      <c r="C52" s="1">
        <v>1</v>
      </c>
      <c r="D52" s="1" t="s">
        <v>427</v>
      </c>
      <c r="E52" s="1" t="s">
        <v>538</v>
      </c>
      <c r="F52" s="1" t="s">
        <v>428</v>
      </c>
      <c r="G52" s="1" t="str">
        <f t="shared" si="0"/>
        <v>INVERSIONES Y ASESORIAS PUDAHUEL LIMITADA</v>
      </c>
      <c r="H52" s="1">
        <f>COUNTIFS(RELACIONADAS!$C:$C,CLIENTES!$F52,RELACIONADAS!$G:$G,"SI")</f>
        <v>1</v>
      </c>
      <c r="I52" s="1">
        <f>COUNTIFS(RELACIONADAS!$C:$C,CLIENTES!$F52,RELACIONADAS!$H:$H,"SI")</f>
        <v>3</v>
      </c>
      <c r="J52" s="1" t="s">
        <v>22</v>
      </c>
      <c r="K52" s="1" t="s">
        <v>27</v>
      </c>
      <c r="L52" s="1" t="s">
        <v>823</v>
      </c>
      <c r="M52" s="1" t="s">
        <v>34</v>
      </c>
      <c r="N52" s="1" t="s">
        <v>32</v>
      </c>
      <c r="O52" s="1" t="s">
        <v>36</v>
      </c>
      <c r="P52" s="9" t="s">
        <v>38</v>
      </c>
      <c r="Q52" s="9" t="s">
        <v>38</v>
      </c>
      <c r="R52" s="9" t="s">
        <v>39</v>
      </c>
      <c r="S52" s="1" t="s">
        <v>55</v>
      </c>
      <c r="T52" s="1" t="s">
        <v>58</v>
      </c>
      <c r="U52" s="12">
        <v>45869</v>
      </c>
    </row>
    <row r="53" spans="1:21" x14ac:dyDescent="0.25">
      <c r="A53" s="1">
        <v>13</v>
      </c>
      <c r="B53" s="1" t="s">
        <v>556</v>
      </c>
      <c r="C53" s="1">
        <v>2</v>
      </c>
      <c r="D53" s="1" t="s">
        <v>435</v>
      </c>
      <c r="E53" s="1" t="s">
        <v>539</v>
      </c>
      <c r="F53" s="1" t="s">
        <v>434</v>
      </c>
      <c r="G53" s="1" t="str">
        <f t="shared" si="0"/>
        <v>INMOBILIARIA Y COMERCIAL EL BOSQUE LIMITADA</v>
      </c>
      <c r="H53" s="1">
        <f>COUNTIFS(RELACIONADAS!$C:$C,CLIENTES!$F53,RELACIONADAS!$G:$G,"SI")</f>
        <v>1</v>
      </c>
      <c r="I53" s="1">
        <f>COUNTIFS(RELACIONADAS!$C:$C,CLIENTES!$F53,RELACIONADAS!$H:$H,"SI")</f>
        <v>4</v>
      </c>
      <c r="J53" s="1" t="s">
        <v>22</v>
      </c>
      <c r="K53" s="1" t="s">
        <v>27</v>
      </c>
      <c r="L53" s="1" t="s">
        <v>823</v>
      </c>
      <c r="M53" s="1" t="s">
        <v>34</v>
      </c>
      <c r="N53" s="1" t="s">
        <v>32</v>
      </c>
      <c r="O53" s="1" t="s">
        <v>36</v>
      </c>
      <c r="P53" s="9" t="s">
        <v>38</v>
      </c>
      <c r="Q53" s="9" t="s">
        <v>38</v>
      </c>
      <c r="R53" s="9" t="s">
        <v>39</v>
      </c>
      <c r="S53" s="1" t="s">
        <v>55</v>
      </c>
      <c r="T53" s="1" t="s">
        <v>58</v>
      </c>
      <c r="U53" s="12">
        <v>45869</v>
      </c>
    </row>
    <row r="54" spans="1:21" x14ac:dyDescent="0.25">
      <c r="A54" s="1">
        <v>13</v>
      </c>
      <c r="B54" s="1" t="s">
        <v>556</v>
      </c>
      <c r="C54" s="1">
        <v>3</v>
      </c>
      <c r="D54" s="1" t="s">
        <v>444</v>
      </c>
      <c r="E54" s="1" t="s">
        <v>540</v>
      </c>
      <c r="F54" s="1" t="s">
        <v>445</v>
      </c>
      <c r="G54" s="1" t="str">
        <f t="shared" si="0"/>
        <v>RENTAS CERRO ALTO LIMITADA</v>
      </c>
      <c r="H54" s="1">
        <f>COUNTIFS(RELACIONADAS!$C:$C,CLIENTES!$F54,RELACIONADAS!$G:$G,"SI")</f>
        <v>1</v>
      </c>
      <c r="I54" s="1">
        <f>COUNTIFS(RELACIONADAS!$C:$C,CLIENTES!$F54,RELACIONADAS!$H:$H,"SI")</f>
        <v>5</v>
      </c>
      <c r="J54" s="1" t="s">
        <v>22</v>
      </c>
      <c r="K54" s="1" t="s">
        <v>27</v>
      </c>
      <c r="L54" s="1" t="s">
        <v>823</v>
      </c>
      <c r="M54" s="1" t="s">
        <v>34</v>
      </c>
      <c r="N54" s="1" t="s">
        <v>33</v>
      </c>
      <c r="O54" s="1" t="s">
        <v>36</v>
      </c>
      <c r="P54" s="9" t="s">
        <v>38</v>
      </c>
      <c r="Q54" s="9" t="s">
        <v>38</v>
      </c>
      <c r="R54" s="9" t="s">
        <v>39</v>
      </c>
      <c r="S54" s="1" t="s">
        <v>55</v>
      </c>
      <c r="T54" s="1" t="s">
        <v>58</v>
      </c>
      <c r="U54" s="12">
        <v>45869</v>
      </c>
    </row>
    <row r="55" spans="1:21" x14ac:dyDescent="0.25">
      <c r="A55" s="1">
        <v>13</v>
      </c>
      <c r="B55" s="1" t="s">
        <v>556</v>
      </c>
      <c r="C55" s="1">
        <v>4</v>
      </c>
      <c r="D55" s="1" t="s">
        <v>454</v>
      </c>
      <c r="E55" s="1" t="s">
        <v>541</v>
      </c>
      <c r="F55" s="1" t="s">
        <v>455</v>
      </c>
      <c r="G55" s="1" t="str">
        <f t="shared" si="0"/>
        <v>RENTAS LAS MONTURAS LIMITADA</v>
      </c>
      <c r="H55" s="1">
        <f>COUNTIFS(RELACIONADAS!$C:$C,CLIENTES!$F55,RELACIONADAS!$G:$G,"SI")</f>
        <v>1</v>
      </c>
      <c r="I55" s="1">
        <f>COUNTIFS(RELACIONADAS!$C:$C,CLIENTES!$F55,RELACIONADAS!$H:$H,"SI")</f>
        <v>4</v>
      </c>
      <c r="J55" s="1" t="s">
        <v>22</v>
      </c>
      <c r="K55" s="1" t="s">
        <v>27</v>
      </c>
      <c r="L55" s="1" t="s">
        <v>823</v>
      </c>
      <c r="M55" s="1" t="s">
        <v>34</v>
      </c>
      <c r="N55" s="1" t="s">
        <v>33</v>
      </c>
      <c r="O55" s="1" t="s">
        <v>36</v>
      </c>
      <c r="P55" s="9" t="s">
        <v>38</v>
      </c>
      <c r="Q55" s="9" t="s">
        <v>38</v>
      </c>
      <c r="R55" s="9" t="s">
        <v>39</v>
      </c>
      <c r="S55" s="1" t="s">
        <v>55</v>
      </c>
      <c r="T55" s="1" t="s">
        <v>58</v>
      </c>
      <c r="U55" s="12">
        <v>45869</v>
      </c>
    </row>
    <row r="56" spans="1:21" x14ac:dyDescent="0.25">
      <c r="A56" s="1">
        <v>13</v>
      </c>
      <c r="B56" s="1" t="s">
        <v>556</v>
      </c>
      <c r="C56" s="1">
        <v>5</v>
      </c>
      <c r="D56" s="1" t="s">
        <v>462</v>
      </c>
      <c r="E56" s="1" t="s">
        <v>542</v>
      </c>
      <c r="F56" s="1" t="s">
        <v>463</v>
      </c>
      <c r="G56" s="1" t="str">
        <f t="shared" si="0"/>
        <v>RENTAS PUENTE PIEDRA LIMITADA</v>
      </c>
      <c r="H56" s="1">
        <f>COUNTIFS(RELACIONADAS!$C:$C,CLIENTES!$F56,RELACIONADAS!$G:$G,"SI")</f>
        <v>1</v>
      </c>
      <c r="I56" s="1">
        <f>COUNTIFS(RELACIONADAS!$C:$C,CLIENTES!$F56,RELACIONADAS!$H:$H,"SI")</f>
        <v>4</v>
      </c>
      <c r="J56" s="1" t="s">
        <v>22</v>
      </c>
      <c r="K56" s="1" t="s">
        <v>27</v>
      </c>
      <c r="L56" s="1" t="s">
        <v>823</v>
      </c>
      <c r="M56" s="1" t="s">
        <v>34</v>
      </c>
      <c r="N56" s="1" t="s">
        <v>33</v>
      </c>
      <c r="O56" s="1" t="s">
        <v>36</v>
      </c>
      <c r="P56" s="9" t="s">
        <v>38</v>
      </c>
      <c r="Q56" s="9" t="s">
        <v>38</v>
      </c>
      <c r="R56" s="9" t="s">
        <v>39</v>
      </c>
      <c r="S56" s="1" t="s">
        <v>55</v>
      </c>
      <c r="T56" s="1" t="s">
        <v>58</v>
      </c>
      <c r="U56" s="12">
        <v>45869</v>
      </c>
    </row>
    <row r="57" spans="1:21" x14ac:dyDescent="0.25">
      <c r="A57" s="1">
        <v>14</v>
      </c>
      <c r="B57" s="1" t="s">
        <v>557</v>
      </c>
      <c r="C57" s="1">
        <v>1</v>
      </c>
      <c r="D57" s="1" t="s">
        <v>470</v>
      </c>
      <c r="E57" s="1" t="s">
        <v>543</v>
      </c>
      <c r="F57" s="1" t="s">
        <v>471</v>
      </c>
      <c r="G57" s="1" t="str">
        <f t="shared" si="0"/>
        <v>TINEO SPA</v>
      </c>
      <c r="H57" s="1">
        <f>COUNTIFS(RELACIONADAS!$C:$C,CLIENTES!$F57,RELACIONADAS!$G:$G,"SI")</f>
        <v>1</v>
      </c>
      <c r="I57" s="1">
        <f>COUNTIFS(RELACIONADAS!$C:$C,CLIENTES!$F57,RELACIONADAS!$H:$H,"SI")</f>
        <v>3</v>
      </c>
      <c r="J57" s="1" t="s">
        <v>22</v>
      </c>
      <c r="K57" s="1" t="s">
        <v>27</v>
      </c>
      <c r="L57" s="1" t="s">
        <v>823</v>
      </c>
      <c r="M57" s="1" t="s">
        <v>34</v>
      </c>
      <c r="N57" s="1" t="s">
        <v>33</v>
      </c>
      <c r="O57" s="1" t="s">
        <v>37</v>
      </c>
      <c r="P57" s="9" t="s">
        <v>826</v>
      </c>
      <c r="Q57" s="9" t="s">
        <v>38</v>
      </c>
      <c r="R57" s="9" t="s">
        <v>39</v>
      </c>
      <c r="S57" s="1" t="s">
        <v>55</v>
      </c>
      <c r="T57" s="1" t="s">
        <v>58</v>
      </c>
      <c r="U57" s="12">
        <v>45869</v>
      </c>
    </row>
    <row r="58" spans="1:21" x14ac:dyDescent="0.25">
      <c r="A58" s="1">
        <v>14</v>
      </c>
      <c r="B58" s="1" t="s">
        <v>557</v>
      </c>
      <c r="C58" s="1">
        <v>2</v>
      </c>
      <c r="D58" s="1" t="s">
        <v>480</v>
      </c>
      <c r="E58" s="1" t="s">
        <v>544</v>
      </c>
      <c r="F58" s="1" t="s">
        <v>481</v>
      </c>
      <c r="G58" s="1" t="str">
        <f t="shared" si="0"/>
        <v>INVERSIONES MICHAY LIMITADA</v>
      </c>
      <c r="H58" s="1">
        <f>COUNTIFS(RELACIONADAS!$C:$C,CLIENTES!$F58,RELACIONADAS!$G:$G,"SI")</f>
        <v>2</v>
      </c>
      <c r="I58" s="1">
        <f>COUNTIFS(RELACIONADAS!$C:$C,CLIENTES!$F58,RELACIONADAS!$H:$H,"SI")</f>
        <v>2</v>
      </c>
      <c r="J58" s="1" t="s">
        <v>22</v>
      </c>
      <c r="K58" s="1" t="s">
        <v>27</v>
      </c>
      <c r="L58" s="1" t="s">
        <v>823</v>
      </c>
      <c r="M58" s="1" t="s">
        <v>34</v>
      </c>
      <c r="N58" s="1" t="s">
        <v>33</v>
      </c>
      <c r="O58" s="1" t="s">
        <v>37</v>
      </c>
      <c r="P58" s="9" t="s">
        <v>826</v>
      </c>
      <c r="Q58" s="9" t="s">
        <v>38</v>
      </c>
      <c r="R58" s="9" t="s">
        <v>39</v>
      </c>
      <c r="S58" s="1" t="s">
        <v>55</v>
      </c>
      <c r="T58" s="1" t="s">
        <v>58</v>
      </c>
      <c r="U58" s="12">
        <v>45869</v>
      </c>
    </row>
    <row r="59" spans="1:21" x14ac:dyDescent="0.25">
      <c r="A59" s="1">
        <v>14</v>
      </c>
      <c r="B59" s="1" t="s">
        <v>557</v>
      </c>
      <c r="C59" s="1">
        <v>3</v>
      </c>
      <c r="D59" s="1" t="s">
        <v>486</v>
      </c>
      <c r="E59" s="1" t="s">
        <v>545</v>
      </c>
      <c r="F59" s="1" t="s">
        <v>487</v>
      </c>
      <c r="G59" s="1" t="str">
        <f t="shared" si="0"/>
        <v>INMOBILIARIA LAGO NATRI SPA</v>
      </c>
      <c r="H59" s="1">
        <f>COUNTIFS(RELACIONADAS!$C:$C,CLIENTES!$F59,RELACIONADAS!$G:$G,"SI")</f>
        <v>2</v>
      </c>
      <c r="I59" s="1">
        <f>COUNTIFS(RELACIONADAS!$C:$C,CLIENTES!$F59,RELACIONADAS!$H:$H,"SI")</f>
        <v>2</v>
      </c>
      <c r="J59" s="1" t="s">
        <v>22</v>
      </c>
      <c r="K59" s="1" t="s">
        <v>27</v>
      </c>
      <c r="L59" s="1" t="s">
        <v>823</v>
      </c>
      <c r="M59" s="1" t="s">
        <v>34</v>
      </c>
      <c r="N59" s="1" t="s">
        <v>33</v>
      </c>
      <c r="O59" s="1" t="s">
        <v>37</v>
      </c>
      <c r="P59" s="9" t="s">
        <v>826</v>
      </c>
      <c r="Q59" s="9" t="s">
        <v>38</v>
      </c>
      <c r="R59" s="9" t="s">
        <v>39</v>
      </c>
      <c r="S59" s="1" t="s">
        <v>55</v>
      </c>
      <c r="T59" s="1" t="s">
        <v>58</v>
      </c>
      <c r="U59" s="12">
        <v>45869</v>
      </c>
    </row>
    <row r="60" spans="1:21" ht="12.95" customHeight="1" x14ac:dyDescent="0.25">
      <c r="A60" s="1">
        <v>14</v>
      </c>
      <c r="B60" s="1" t="s">
        <v>557</v>
      </c>
      <c r="C60" s="1">
        <v>4</v>
      </c>
      <c r="D60" s="1" t="s">
        <v>490</v>
      </c>
      <c r="E60" s="1" t="s">
        <v>546</v>
      </c>
      <c r="F60" s="1" t="s">
        <v>491</v>
      </c>
      <c r="G60" s="1" t="str">
        <f t="shared" si="0"/>
        <v>GESTION Y DESARROLLO LIMITADA</v>
      </c>
      <c r="H60" s="1">
        <f>COUNTIFS(RELACIONADAS!$C:$C,CLIENTES!$F60,RELACIONADAS!$G:$G,"SI")</f>
        <v>1</v>
      </c>
      <c r="I60" s="1">
        <f>COUNTIFS(RELACIONADAS!$C:$C,CLIENTES!$F60,RELACIONADAS!$H:$H,"SI")</f>
        <v>2</v>
      </c>
      <c r="J60" s="1" t="s">
        <v>22</v>
      </c>
      <c r="K60" s="1" t="s">
        <v>27</v>
      </c>
      <c r="L60" s="1" t="s">
        <v>823</v>
      </c>
      <c r="M60" s="1" t="s">
        <v>34</v>
      </c>
      <c r="N60" s="1" t="s">
        <v>32</v>
      </c>
      <c r="O60" s="1" t="s">
        <v>37</v>
      </c>
      <c r="P60" s="9" t="s">
        <v>826</v>
      </c>
      <c r="Q60" s="9" t="s">
        <v>38</v>
      </c>
      <c r="R60" s="9" t="s">
        <v>39</v>
      </c>
      <c r="S60" s="1" t="s">
        <v>55</v>
      </c>
      <c r="T60" s="1" t="s">
        <v>58</v>
      </c>
      <c r="U60" s="12">
        <v>45869</v>
      </c>
    </row>
    <row r="61" spans="1:21" x14ac:dyDescent="0.25">
      <c r="A61" s="1">
        <v>15</v>
      </c>
      <c r="B61" s="1" t="s">
        <v>494</v>
      </c>
      <c r="C61" s="1">
        <v>1</v>
      </c>
      <c r="D61" s="1" t="s">
        <v>495</v>
      </c>
      <c r="E61" s="1" t="s">
        <v>547</v>
      </c>
      <c r="F61" s="1" t="s">
        <v>496</v>
      </c>
      <c r="G61" s="1" t="str">
        <f t="shared" si="0"/>
        <v>SOCIEDAD INMOBILIARIA MARIA PAZ LIMITADA</v>
      </c>
      <c r="H61" s="1">
        <f>COUNTIFS(RELACIONADAS!$C:$C,CLIENTES!$F61,RELACIONADAS!$G:$G,"SI")</f>
        <v>2</v>
      </c>
      <c r="I61" s="1">
        <f>COUNTIFS(RELACIONADAS!$C:$C,CLIENTES!$F61,RELACIONADAS!$H:$H,"SI")</f>
        <v>6</v>
      </c>
      <c r="J61" s="1" t="s">
        <v>22</v>
      </c>
      <c r="K61" s="1" t="s">
        <v>27</v>
      </c>
      <c r="L61" s="1" t="s">
        <v>823</v>
      </c>
      <c r="M61" s="1" t="s">
        <v>34</v>
      </c>
      <c r="N61" s="1" t="s">
        <v>32</v>
      </c>
      <c r="O61" s="1" t="s">
        <v>812</v>
      </c>
      <c r="P61" s="9" t="s">
        <v>38</v>
      </c>
      <c r="Q61" s="9" t="s">
        <v>38</v>
      </c>
      <c r="R61" s="9" t="s">
        <v>39</v>
      </c>
      <c r="S61" s="1" t="s">
        <v>55</v>
      </c>
      <c r="T61" s="1" t="s">
        <v>58</v>
      </c>
      <c r="U61" s="12">
        <v>45869</v>
      </c>
    </row>
    <row r="62" spans="1:21" x14ac:dyDescent="0.25">
      <c r="A62" s="1">
        <v>15</v>
      </c>
      <c r="B62" s="1" t="s">
        <v>494</v>
      </c>
      <c r="C62" s="1">
        <v>2</v>
      </c>
      <c r="D62" s="1" t="s">
        <v>509</v>
      </c>
      <c r="E62" s="1" t="s">
        <v>548</v>
      </c>
      <c r="F62" s="1" t="s">
        <v>510</v>
      </c>
      <c r="G62" s="1" t="str">
        <f t="shared" si="0"/>
        <v>DISTRIBUIDORA DE COMBUSTIBLES COKE LIMITADA</v>
      </c>
      <c r="H62" s="1">
        <f>COUNTIFS(RELACIONADAS!$C:$C,CLIENTES!$F62,RELACIONADAS!$G:$G,"SI")</f>
        <v>1</v>
      </c>
      <c r="I62" s="1">
        <f>COUNTIFS(RELACIONADAS!$C:$C,CLIENTES!$F62,RELACIONADAS!$H:$H,"SI")</f>
        <v>2</v>
      </c>
      <c r="J62" s="1" t="s">
        <v>22</v>
      </c>
      <c r="K62" s="1" t="s">
        <v>27</v>
      </c>
      <c r="L62" s="1" t="s">
        <v>823</v>
      </c>
      <c r="M62" s="1" t="s">
        <v>34</v>
      </c>
      <c r="N62" s="1" t="s">
        <v>32</v>
      </c>
      <c r="O62" s="1" t="s">
        <v>812</v>
      </c>
      <c r="P62" s="9" t="s">
        <v>38</v>
      </c>
      <c r="Q62" s="9" t="s">
        <v>38</v>
      </c>
      <c r="R62" s="9" t="s">
        <v>39</v>
      </c>
      <c r="S62" s="1" t="s">
        <v>55</v>
      </c>
      <c r="T62" s="1" t="s">
        <v>58</v>
      </c>
      <c r="U62" s="12">
        <v>45869</v>
      </c>
    </row>
    <row r="63" spans="1:21" x14ac:dyDescent="0.25">
      <c r="A63" s="1">
        <v>16</v>
      </c>
      <c r="B63" s="1" t="s">
        <v>511</v>
      </c>
      <c r="C63" s="1">
        <v>2</v>
      </c>
      <c r="D63" s="1" t="s">
        <v>512</v>
      </c>
      <c r="E63" s="1" t="s">
        <v>549</v>
      </c>
      <c r="F63" s="1" t="s">
        <v>513</v>
      </c>
      <c r="G63" s="1" t="str">
        <f t="shared" si="0"/>
        <v>FUNDACION DE BENEFICENCIA HERMANOS ARAYA JERIA</v>
      </c>
      <c r="H63" s="1">
        <f>COUNTIFS(RELACIONADAS!$C:$C,CLIENTES!$F63,RELACIONADAS!$G:$G,"SI")</f>
        <v>1</v>
      </c>
      <c r="I63" s="1">
        <f>COUNTIFS(RELACIONADAS!$C:$C,CLIENTES!$F63,RELACIONADAS!$H:$H,"SI")</f>
        <v>0</v>
      </c>
      <c r="J63" s="1" t="s">
        <v>22</v>
      </c>
      <c r="K63" s="1" t="s">
        <v>27</v>
      </c>
      <c r="L63" s="1" t="s">
        <v>823</v>
      </c>
      <c r="M63" s="1" t="s">
        <v>34</v>
      </c>
      <c r="N63" s="1" t="s">
        <v>31</v>
      </c>
      <c r="O63" s="1" t="s">
        <v>37</v>
      </c>
      <c r="P63" s="9" t="s">
        <v>826</v>
      </c>
      <c r="Q63" s="9" t="s">
        <v>38</v>
      </c>
      <c r="R63" s="9" t="s">
        <v>39</v>
      </c>
      <c r="S63" s="1" t="s">
        <v>55</v>
      </c>
      <c r="T63" s="1" t="s">
        <v>58</v>
      </c>
      <c r="U63" s="12">
        <v>45869</v>
      </c>
    </row>
    <row r="64" spans="1:21" x14ac:dyDescent="0.25">
      <c r="A64" s="1">
        <v>17</v>
      </c>
      <c r="B64" s="1" t="s">
        <v>580</v>
      </c>
      <c r="C64" s="1">
        <v>1</v>
      </c>
      <c r="D64" s="1" t="s">
        <v>581</v>
      </c>
      <c r="E64" s="1" t="s">
        <v>589</v>
      </c>
      <c r="F64" s="1" t="s">
        <v>585</v>
      </c>
      <c r="G64" s="1" t="str">
        <f t="shared" si="0"/>
        <v>INVERSIONES Y ASESORIAS SYDARTA LIMITADA</v>
      </c>
      <c r="H64" s="1">
        <f>COUNTIFS(RELACIONADAS!$C:$C,CLIENTES!$F64,RELACIONADAS!$G:$G,"SI")</f>
        <v>1</v>
      </c>
      <c r="I64" s="1">
        <f>COUNTIFS(RELACIONADAS!$C:$C,CLIENTES!$F64,RELACIONADAS!$H:$H,"SI")</f>
        <v>2</v>
      </c>
      <c r="J64" s="1" t="s">
        <v>22</v>
      </c>
      <c r="K64" s="1" t="s">
        <v>27</v>
      </c>
      <c r="L64" s="1" t="s">
        <v>823</v>
      </c>
      <c r="M64" s="1" t="s">
        <v>34</v>
      </c>
      <c r="N64" s="1" t="s">
        <v>31</v>
      </c>
      <c r="O64" s="1" t="s">
        <v>36</v>
      </c>
      <c r="P64" s="9" t="s">
        <v>38</v>
      </c>
      <c r="Q64" s="9" t="s">
        <v>38</v>
      </c>
      <c r="R64" s="9" t="s">
        <v>39</v>
      </c>
      <c r="S64" s="1" t="s">
        <v>55</v>
      </c>
      <c r="T64" s="1" t="s">
        <v>58</v>
      </c>
      <c r="U64" s="12">
        <v>45869</v>
      </c>
    </row>
    <row r="65" spans="1:21" x14ac:dyDescent="0.25">
      <c r="A65" s="1">
        <v>17</v>
      </c>
      <c r="B65" s="1" t="s">
        <v>580</v>
      </c>
      <c r="C65" s="1">
        <v>2</v>
      </c>
      <c r="D65" s="1" t="s">
        <v>582</v>
      </c>
      <c r="E65" s="1" t="s">
        <v>590</v>
      </c>
      <c r="F65" s="1" t="s">
        <v>586</v>
      </c>
      <c r="G65" s="1" t="str">
        <f t="shared" si="0"/>
        <v xml:space="preserve">ADMINISTRADORA BAKER NORTE LIMITADA </v>
      </c>
      <c r="H65" s="1">
        <f>COUNTIFS(RELACIONADAS!$C:$C,CLIENTES!$F65,RELACIONADAS!$G:$G,"SI")</f>
        <v>2</v>
      </c>
      <c r="I65" s="1">
        <f>COUNTIFS(RELACIONADAS!$C:$C,CLIENTES!$F65,RELACIONADAS!$H:$H,"SI")</f>
        <v>2</v>
      </c>
      <c r="J65" s="1" t="s">
        <v>22</v>
      </c>
      <c r="K65" s="1" t="s">
        <v>27</v>
      </c>
      <c r="L65" s="1" t="s">
        <v>823</v>
      </c>
      <c r="M65" s="1" t="s">
        <v>34</v>
      </c>
      <c r="N65" s="1" t="s">
        <v>33</v>
      </c>
      <c r="O65" s="1" t="s">
        <v>36</v>
      </c>
      <c r="P65" s="9" t="s">
        <v>38</v>
      </c>
      <c r="Q65" s="9" t="s">
        <v>38</v>
      </c>
      <c r="R65" s="9" t="s">
        <v>39</v>
      </c>
      <c r="S65" s="1" t="s">
        <v>55</v>
      </c>
      <c r="T65" s="1" t="s">
        <v>58</v>
      </c>
      <c r="U65" s="12">
        <v>45869</v>
      </c>
    </row>
    <row r="66" spans="1:21" x14ac:dyDescent="0.25">
      <c r="A66" s="1">
        <v>17</v>
      </c>
      <c r="B66" s="1" t="s">
        <v>580</v>
      </c>
      <c r="C66" s="1">
        <v>3</v>
      </c>
      <c r="D66" s="1" t="s">
        <v>583</v>
      </c>
      <c r="E66" s="1" t="s">
        <v>591</v>
      </c>
      <c r="F66" s="1" t="s">
        <v>587</v>
      </c>
      <c r="G66" s="1" t="str">
        <f t="shared" si="0"/>
        <v xml:space="preserve">RENTAS BAKER SUR LIMITADA </v>
      </c>
      <c r="H66" s="1">
        <f>COUNTIFS(RELACIONADAS!$C:$C,CLIENTES!$F66,RELACIONADAS!$G:$G,"SI")</f>
        <v>2</v>
      </c>
      <c r="I66" s="1">
        <f>COUNTIFS(RELACIONADAS!$C:$C,CLIENTES!$F66,RELACIONADAS!$H:$H,"SI")</f>
        <v>5</v>
      </c>
      <c r="J66" s="1" t="s">
        <v>22</v>
      </c>
      <c r="K66" s="1" t="s">
        <v>27</v>
      </c>
      <c r="L66" s="1" t="s">
        <v>823</v>
      </c>
      <c r="M66" s="1" t="s">
        <v>34</v>
      </c>
      <c r="N66" s="1" t="s">
        <v>33</v>
      </c>
      <c r="O66" s="1" t="s">
        <v>36</v>
      </c>
      <c r="P66" s="9" t="s">
        <v>38</v>
      </c>
      <c r="Q66" s="9" t="s">
        <v>38</v>
      </c>
      <c r="R66" s="9" t="s">
        <v>39</v>
      </c>
      <c r="S66" s="1" t="s">
        <v>55</v>
      </c>
      <c r="T66" s="1" t="s">
        <v>58</v>
      </c>
      <c r="U66" s="12">
        <v>45869</v>
      </c>
    </row>
    <row r="67" spans="1:21" s="10" customFormat="1" x14ac:dyDescent="0.25">
      <c r="A67" s="10">
        <v>17</v>
      </c>
      <c r="B67" s="10" t="s">
        <v>580</v>
      </c>
      <c r="C67" s="10">
        <v>4</v>
      </c>
      <c r="D67" s="10" t="s">
        <v>584</v>
      </c>
      <c r="E67" s="10" t="s">
        <v>592</v>
      </c>
      <c r="F67" s="10" t="s">
        <v>588</v>
      </c>
      <c r="G67" s="1" t="str">
        <f t="shared" ref="G67:G130" si="1">D67</f>
        <v xml:space="preserve">ASESORIAS E INVERSIONES EFESOS SPA </v>
      </c>
      <c r="H67" s="1">
        <f>COUNTIFS(RELACIONADAS!$C:$C,CLIENTES!$F67,RELACIONADAS!$G:$G,"SI")</f>
        <v>2</v>
      </c>
      <c r="I67" s="1">
        <f>COUNTIFS(RELACIONADAS!$C:$C,CLIENTES!$F67,RELACIONADAS!$H:$H,"SI")</f>
        <v>2</v>
      </c>
      <c r="J67" s="10" t="s">
        <v>22</v>
      </c>
      <c r="K67" s="10" t="s">
        <v>28</v>
      </c>
      <c r="L67" s="10" t="s">
        <v>825</v>
      </c>
      <c r="M67" s="10" t="s">
        <v>34</v>
      </c>
      <c r="N67" s="10" t="s">
        <v>33</v>
      </c>
      <c r="O67" s="10" t="s">
        <v>36</v>
      </c>
      <c r="P67" s="9" t="s">
        <v>38</v>
      </c>
      <c r="Q67" s="9" t="s">
        <v>38</v>
      </c>
      <c r="R67" s="9" t="s">
        <v>39</v>
      </c>
      <c r="S67" s="1" t="s">
        <v>55</v>
      </c>
      <c r="T67" s="1" t="s">
        <v>58</v>
      </c>
      <c r="U67" s="12">
        <v>45869</v>
      </c>
    </row>
    <row r="68" spans="1:21" x14ac:dyDescent="0.25">
      <c r="A68" s="1">
        <v>18</v>
      </c>
      <c r="B68" s="1" t="s">
        <v>611</v>
      </c>
      <c r="C68" s="1">
        <v>1</v>
      </c>
      <c r="D68" s="1" t="s">
        <v>713</v>
      </c>
      <c r="E68" s="1" t="s">
        <v>750</v>
      </c>
      <c r="F68" s="1" t="s">
        <v>612</v>
      </c>
      <c r="G68" s="1" t="str">
        <f t="shared" si="1"/>
        <v>INMOBILIARIA SECURITY SA</v>
      </c>
      <c r="H68" s="1">
        <f>COUNTIFS(RELACIONADAS!$C:$C,CLIENTES!$F68,RELACIONADAS!$G:$G,"SI")</f>
        <v>9</v>
      </c>
      <c r="I68" s="1">
        <f>COUNTIFS(RELACIONADAS!$C:$C,CLIENTES!$F68,RELACIONADAS!$H:$H,"SI")</f>
        <v>2</v>
      </c>
      <c r="J68" s="1" t="s">
        <v>23</v>
      </c>
      <c r="K68" s="1" t="s">
        <v>633</v>
      </c>
      <c r="L68" s="1" t="s">
        <v>823</v>
      </c>
      <c r="M68" s="1" t="s">
        <v>34</v>
      </c>
      <c r="N68" s="1" t="s">
        <v>31</v>
      </c>
      <c r="O68" s="1" t="s">
        <v>812</v>
      </c>
      <c r="P68" s="9" t="s">
        <v>38</v>
      </c>
      <c r="Q68" s="9" t="s">
        <v>38</v>
      </c>
      <c r="R68" s="9" t="s">
        <v>39</v>
      </c>
      <c r="S68" s="1" t="s">
        <v>829</v>
      </c>
      <c r="T68" s="1" t="s">
        <v>830</v>
      </c>
      <c r="U68" s="12">
        <v>45869</v>
      </c>
    </row>
    <row r="69" spans="1:21" x14ac:dyDescent="0.25">
      <c r="A69" s="1">
        <v>18</v>
      </c>
      <c r="B69" s="1" t="s">
        <v>611</v>
      </c>
      <c r="C69" s="1">
        <v>2</v>
      </c>
      <c r="D69" s="1" t="s">
        <v>714</v>
      </c>
      <c r="E69" s="1" t="s">
        <v>752</v>
      </c>
      <c r="F69" s="1" t="s">
        <v>613</v>
      </c>
      <c r="G69" s="1" t="str">
        <f t="shared" si="1"/>
        <v>INMOBILIARIA SH UNO LIMITADA</v>
      </c>
      <c r="H69" s="1">
        <f>COUNTIFS(RELACIONADAS!$C:$C,CLIENTES!$F69,RELACIONADAS!$G:$G,"SI")</f>
        <v>6</v>
      </c>
      <c r="I69" s="1">
        <f>COUNTIFS(RELACIONADAS!$C:$C,CLIENTES!$F69,RELACIONADAS!$H:$H,"SI")</f>
        <v>1</v>
      </c>
      <c r="J69" s="1" t="s">
        <v>23</v>
      </c>
      <c r="K69" s="1" t="s">
        <v>633</v>
      </c>
      <c r="L69" s="1" t="s">
        <v>823</v>
      </c>
      <c r="M69" s="1" t="s">
        <v>34</v>
      </c>
      <c r="N69" s="1" t="s">
        <v>31</v>
      </c>
      <c r="O69" s="1" t="s">
        <v>812</v>
      </c>
      <c r="P69" s="9" t="s">
        <v>38</v>
      </c>
      <c r="Q69" s="9" t="s">
        <v>38</v>
      </c>
      <c r="R69" s="9" t="s">
        <v>39</v>
      </c>
      <c r="S69" s="1" t="s">
        <v>829</v>
      </c>
      <c r="T69" s="1" t="s">
        <v>830</v>
      </c>
      <c r="U69" s="12">
        <v>45869</v>
      </c>
    </row>
    <row r="70" spans="1:21" x14ac:dyDescent="0.25">
      <c r="A70" s="1">
        <v>18</v>
      </c>
      <c r="B70" s="1" t="s">
        <v>611</v>
      </c>
      <c r="C70" s="1">
        <v>3</v>
      </c>
      <c r="D70" s="1" t="s">
        <v>715</v>
      </c>
      <c r="E70" s="1" t="s">
        <v>757</v>
      </c>
      <c r="F70" s="1" t="s">
        <v>614</v>
      </c>
      <c r="G70" s="1" t="str">
        <f t="shared" si="1"/>
        <v>INMOBILIARIA SECURITY SIETE LIMITADA</v>
      </c>
      <c r="H70" s="1">
        <f>COUNTIFS(RELACIONADAS!$C:$C,CLIENTES!$F70,RELACIONADAS!$G:$G,"SI")</f>
        <v>9</v>
      </c>
      <c r="I70" s="1">
        <f>COUNTIFS(RELACIONADAS!$C:$C,CLIENTES!$F70,RELACIONADAS!$H:$H,"SI")</f>
        <v>2</v>
      </c>
      <c r="J70" s="1" t="s">
        <v>23</v>
      </c>
      <c r="K70" s="1" t="s">
        <v>633</v>
      </c>
      <c r="L70" s="1" t="s">
        <v>823</v>
      </c>
      <c r="M70" s="1" t="s">
        <v>34</v>
      </c>
      <c r="N70" s="1" t="s">
        <v>31</v>
      </c>
      <c r="O70" s="1" t="s">
        <v>812</v>
      </c>
      <c r="P70" s="9" t="s">
        <v>38</v>
      </c>
      <c r="Q70" s="9" t="s">
        <v>38</v>
      </c>
      <c r="R70" s="9" t="s">
        <v>39</v>
      </c>
      <c r="S70" s="1" t="s">
        <v>829</v>
      </c>
      <c r="T70" s="1" t="s">
        <v>830</v>
      </c>
      <c r="U70" s="12">
        <v>45869</v>
      </c>
    </row>
    <row r="71" spans="1:21" x14ac:dyDescent="0.25">
      <c r="A71" s="1">
        <v>18</v>
      </c>
      <c r="B71" s="1" t="s">
        <v>611</v>
      </c>
      <c r="C71" s="1">
        <v>4</v>
      </c>
      <c r="D71" s="1" t="s">
        <v>716</v>
      </c>
      <c r="E71" s="1" t="s">
        <v>758</v>
      </c>
      <c r="F71" s="1" t="s">
        <v>615</v>
      </c>
      <c r="G71" s="1" t="str">
        <f t="shared" si="1"/>
        <v>INMOBILIARIA SECURITY NUEVE SPA</v>
      </c>
      <c r="H71" s="1">
        <f>COUNTIFS(RELACIONADAS!$C:$C,CLIENTES!$F71,RELACIONADAS!$G:$G,"SI")</f>
        <v>5</v>
      </c>
      <c r="I71" s="1">
        <f>COUNTIFS(RELACIONADAS!$C:$C,CLIENTES!$F71,RELACIONADAS!$H:$H,"SI")</f>
        <v>3</v>
      </c>
      <c r="J71" s="1" t="s">
        <v>23</v>
      </c>
      <c r="K71" s="1" t="s">
        <v>633</v>
      </c>
      <c r="L71" s="1" t="s">
        <v>823</v>
      </c>
      <c r="M71" s="1" t="s">
        <v>34</v>
      </c>
      <c r="N71" s="1" t="s">
        <v>31</v>
      </c>
      <c r="O71" s="1" t="s">
        <v>812</v>
      </c>
      <c r="P71" s="9" t="s">
        <v>38</v>
      </c>
      <c r="Q71" s="9" t="s">
        <v>38</v>
      </c>
      <c r="R71" s="9" t="s">
        <v>39</v>
      </c>
      <c r="S71" s="1" t="s">
        <v>829</v>
      </c>
      <c r="T71" s="1" t="s">
        <v>830</v>
      </c>
      <c r="U71" s="12">
        <v>45869</v>
      </c>
    </row>
    <row r="72" spans="1:21" x14ac:dyDescent="0.25">
      <c r="A72" s="1">
        <v>18</v>
      </c>
      <c r="B72" s="1" t="s">
        <v>611</v>
      </c>
      <c r="C72" s="1">
        <v>5</v>
      </c>
      <c r="D72" s="1" t="s">
        <v>717</v>
      </c>
      <c r="E72" s="1" t="s">
        <v>759</v>
      </c>
      <c r="F72" s="1" t="s">
        <v>616</v>
      </c>
      <c r="G72" s="1" t="str">
        <f t="shared" si="1"/>
        <v>INMOBILIARIA SECURITY DIEZ LIMITADA</v>
      </c>
      <c r="H72" s="1">
        <f>COUNTIFS(RELACIONADAS!$C:$C,CLIENTES!$F72,RELACIONADAS!$G:$G,"SI")</f>
        <v>9</v>
      </c>
      <c r="I72" s="1">
        <f>COUNTIFS(RELACIONADAS!$C:$C,CLIENTES!$F72,RELACIONADAS!$H:$H,"SI")</f>
        <v>2</v>
      </c>
      <c r="J72" s="1" t="s">
        <v>23</v>
      </c>
      <c r="K72" s="1" t="s">
        <v>633</v>
      </c>
      <c r="L72" s="1" t="s">
        <v>823</v>
      </c>
      <c r="M72" s="1" t="s">
        <v>34</v>
      </c>
      <c r="N72" s="1" t="s">
        <v>31</v>
      </c>
      <c r="O72" s="1" t="s">
        <v>812</v>
      </c>
      <c r="P72" s="9" t="s">
        <v>38</v>
      </c>
      <c r="Q72" s="9" t="s">
        <v>38</v>
      </c>
      <c r="R72" s="9" t="s">
        <v>39</v>
      </c>
      <c r="S72" s="1" t="s">
        <v>829</v>
      </c>
      <c r="T72" s="1" t="s">
        <v>830</v>
      </c>
      <c r="U72" s="12">
        <v>45869</v>
      </c>
    </row>
    <row r="73" spans="1:21" x14ac:dyDescent="0.25">
      <c r="A73" s="1">
        <v>18</v>
      </c>
      <c r="B73" s="1" t="s">
        <v>611</v>
      </c>
      <c r="C73" s="1">
        <v>6</v>
      </c>
      <c r="D73" s="1" t="s">
        <v>718</v>
      </c>
      <c r="E73" s="1" t="s">
        <v>760</v>
      </c>
      <c r="F73" s="1" t="s">
        <v>617</v>
      </c>
      <c r="G73" s="1" t="str">
        <f t="shared" si="1"/>
        <v>INMOBILIARIA ALTO LO MATTA SPA</v>
      </c>
      <c r="H73" s="1">
        <f>COUNTIFS(RELACIONADAS!$C:$C,CLIENTES!$F73,RELACIONADAS!$G:$G,"SI")</f>
        <v>5</v>
      </c>
      <c r="I73" s="1">
        <f>COUNTIFS(RELACIONADAS!$C:$C,CLIENTES!$F73,RELACIONADAS!$H:$H,"SI")</f>
        <v>3</v>
      </c>
      <c r="J73" s="1" t="s">
        <v>23</v>
      </c>
      <c r="K73" s="1" t="s">
        <v>633</v>
      </c>
      <c r="L73" s="1" t="s">
        <v>823</v>
      </c>
      <c r="M73" s="1" t="s">
        <v>34</v>
      </c>
      <c r="N73" s="1" t="s">
        <v>31</v>
      </c>
      <c r="O73" s="1" t="s">
        <v>812</v>
      </c>
      <c r="P73" s="9" t="s">
        <v>38</v>
      </c>
      <c r="Q73" s="9" t="s">
        <v>38</v>
      </c>
      <c r="R73" s="9" t="s">
        <v>39</v>
      </c>
      <c r="S73" s="1" t="s">
        <v>829</v>
      </c>
      <c r="T73" s="1" t="s">
        <v>830</v>
      </c>
      <c r="U73" s="12">
        <v>45869</v>
      </c>
    </row>
    <row r="74" spans="1:21" x14ac:dyDescent="0.25">
      <c r="A74" s="1">
        <v>18</v>
      </c>
      <c r="B74" s="1" t="s">
        <v>611</v>
      </c>
      <c r="C74" s="1">
        <v>7</v>
      </c>
      <c r="D74" s="1" t="s">
        <v>719</v>
      </c>
      <c r="E74" s="1" t="s">
        <v>753</v>
      </c>
      <c r="F74" s="1" t="s">
        <v>618</v>
      </c>
      <c r="G74" s="1" t="str">
        <f t="shared" si="1"/>
        <v>INMOBILIARIA LOS ESPINOS SA</v>
      </c>
      <c r="H74" s="1">
        <f>COUNTIFS(RELACIONADAS!$C:$C,CLIENTES!$F74,RELACIONADAS!$G:$G,"SI")</f>
        <v>6</v>
      </c>
      <c r="I74" s="1">
        <f>COUNTIFS(RELACIONADAS!$C:$C,CLIENTES!$F74,RELACIONADAS!$H:$H,"SI")</f>
        <v>2</v>
      </c>
      <c r="J74" s="1" t="s">
        <v>23</v>
      </c>
      <c r="K74" s="1" t="s">
        <v>633</v>
      </c>
      <c r="L74" s="1" t="s">
        <v>823</v>
      </c>
      <c r="M74" s="1" t="s">
        <v>34</v>
      </c>
      <c r="N74" s="1" t="s">
        <v>31</v>
      </c>
      <c r="O74" s="1" t="s">
        <v>812</v>
      </c>
      <c r="P74" s="9" t="s">
        <v>38</v>
      </c>
      <c r="Q74" s="9" t="s">
        <v>38</v>
      </c>
      <c r="R74" s="9" t="s">
        <v>39</v>
      </c>
      <c r="S74" s="1" t="s">
        <v>829</v>
      </c>
      <c r="T74" s="1" t="s">
        <v>830</v>
      </c>
      <c r="U74" s="12">
        <v>45869</v>
      </c>
    </row>
    <row r="75" spans="1:21" x14ac:dyDescent="0.25">
      <c r="A75" s="1">
        <v>18</v>
      </c>
      <c r="B75" s="1" t="s">
        <v>611</v>
      </c>
      <c r="C75" s="1">
        <v>8</v>
      </c>
      <c r="D75" s="1" t="s">
        <v>720</v>
      </c>
      <c r="E75" s="1" t="s">
        <v>761</v>
      </c>
      <c r="F75" s="1" t="s">
        <v>619</v>
      </c>
      <c r="G75" s="1" t="str">
        <f t="shared" si="1"/>
        <v>INMOBILIARIA CORDILLERA SA</v>
      </c>
      <c r="H75" s="1">
        <f>COUNTIFS(RELACIONADAS!$C:$C,CLIENTES!$F75,RELACIONADAS!$G:$G,"SI")</f>
        <v>6</v>
      </c>
      <c r="I75" s="1">
        <f>COUNTIFS(RELACIONADAS!$C:$C,CLIENTES!$F75,RELACIONADAS!$H:$H,"SI")</f>
        <v>2</v>
      </c>
      <c r="J75" s="1" t="s">
        <v>23</v>
      </c>
      <c r="K75" s="1" t="s">
        <v>633</v>
      </c>
      <c r="L75" s="1" t="s">
        <v>823</v>
      </c>
      <c r="M75" s="1" t="s">
        <v>34</v>
      </c>
      <c r="N75" s="1" t="s">
        <v>31</v>
      </c>
      <c r="O75" s="1" t="s">
        <v>812</v>
      </c>
      <c r="P75" s="9" t="s">
        <v>38</v>
      </c>
      <c r="Q75" s="9" t="s">
        <v>38</v>
      </c>
      <c r="R75" s="9" t="s">
        <v>39</v>
      </c>
      <c r="S75" s="1" t="s">
        <v>829</v>
      </c>
      <c r="T75" s="1" t="s">
        <v>830</v>
      </c>
      <c r="U75" s="12">
        <v>45869</v>
      </c>
    </row>
    <row r="76" spans="1:21" x14ac:dyDescent="0.25">
      <c r="A76" s="1">
        <v>18</v>
      </c>
      <c r="B76" s="1" t="s">
        <v>611</v>
      </c>
      <c r="C76" s="1">
        <v>9</v>
      </c>
      <c r="D76" s="1" t="s">
        <v>721</v>
      </c>
      <c r="E76" s="1" t="s">
        <v>754</v>
      </c>
      <c r="F76" s="1" t="s">
        <v>620</v>
      </c>
      <c r="G76" s="1" t="str">
        <f t="shared" si="1"/>
        <v>INMOBILIARIA ÑUÑOA IV SA</v>
      </c>
      <c r="H76" s="1">
        <f>COUNTIFS(RELACIONADAS!$C:$C,CLIENTES!$F76,RELACIONADAS!$G:$G,"SI")</f>
        <v>6</v>
      </c>
      <c r="I76" s="1">
        <f>COUNTIFS(RELACIONADAS!$C:$C,CLIENTES!$F76,RELACIONADAS!$H:$H,"SI")</f>
        <v>2</v>
      </c>
      <c r="J76" s="1" t="s">
        <v>23</v>
      </c>
      <c r="K76" s="1" t="s">
        <v>633</v>
      </c>
      <c r="L76" s="1" t="s">
        <v>823</v>
      </c>
      <c r="M76" s="1" t="s">
        <v>34</v>
      </c>
      <c r="N76" s="1" t="s">
        <v>31</v>
      </c>
      <c r="O76" s="1" t="s">
        <v>812</v>
      </c>
      <c r="P76" s="9" t="s">
        <v>38</v>
      </c>
      <c r="Q76" s="9" t="s">
        <v>38</v>
      </c>
      <c r="R76" s="9" t="s">
        <v>39</v>
      </c>
      <c r="S76" s="1" t="s">
        <v>829</v>
      </c>
      <c r="T76" s="1" t="s">
        <v>830</v>
      </c>
      <c r="U76" s="12">
        <v>45869</v>
      </c>
    </row>
    <row r="77" spans="1:21" x14ac:dyDescent="0.25">
      <c r="A77" s="1">
        <v>18</v>
      </c>
      <c r="B77" s="1" t="s">
        <v>611</v>
      </c>
      <c r="C77" s="1">
        <v>10</v>
      </c>
      <c r="D77" s="1" t="s">
        <v>722</v>
      </c>
      <c r="E77" s="1" t="s">
        <v>762</v>
      </c>
      <c r="F77" s="1" t="s">
        <v>621</v>
      </c>
      <c r="G77" s="1" t="str">
        <f t="shared" si="1"/>
        <v>INMOBILIARIA SECURITY DOCE SA</v>
      </c>
      <c r="H77" s="1">
        <f>COUNTIFS(RELACIONADAS!$C:$C,CLIENTES!$F77,RELACIONADAS!$G:$G,"SI")</f>
        <v>6</v>
      </c>
      <c r="I77" s="1">
        <f>COUNTIFS(RELACIONADAS!$C:$C,CLIENTES!$F77,RELACIONADAS!$H:$H,"SI")</f>
        <v>2</v>
      </c>
      <c r="J77" s="1" t="s">
        <v>23</v>
      </c>
      <c r="K77" s="1" t="s">
        <v>633</v>
      </c>
      <c r="L77" s="1" t="s">
        <v>823</v>
      </c>
      <c r="M77" s="1" t="s">
        <v>34</v>
      </c>
      <c r="N77" s="1" t="s">
        <v>31</v>
      </c>
      <c r="O77" s="1" t="s">
        <v>812</v>
      </c>
      <c r="P77" s="9" t="s">
        <v>38</v>
      </c>
      <c r="Q77" s="9" t="s">
        <v>38</v>
      </c>
      <c r="R77" s="9" t="s">
        <v>39</v>
      </c>
      <c r="S77" s="1" t="s">
        <v>829</v>
      </c>
      <c r="T77" s="1" t="s">
        <v>830</v>
      </c>
      <c r="U77" s="12">
        <v>45869</v>
      </c>
    </row>
    <row r="78" spans="1:21" x14ac:dyDescent="0.25">
      <c r="A78" s="1">
        <v>18</v>
      </c>
      <c r="B78" s="1" t="s">
        <v>611</v>
      </c>
      <c r="C78" s="1">
        <v>11</v>
      </c>
      <c r="D78" s="1" t="s">
        <v>723</v>
      </c>
      <c r="E78" s="1" t="s">
        <v>763</v>
      </c>
      <c r="F78" s="1" t="s">
        <v>622</v>
      </c>
      <c r="G78" s="1" t="str">
        <f t="shared" si="1"/>
        <v>INMOBILIARIA SECURITY NORTE SA</v>
      </c>
      <c r="H78" s="1">
        <f>COUNTIFS(RELACIONADAS!$C:$C,CLIENTES!$F78,RELACIONADAS!$G:$G,"SI")</f>
        <v>6</v>
      </c>
      <c r="I78" s="1">
        <f>COUNTIFS(RELACIONADAS!$C:$C,CLIENTES!$F78,RELACIONADAS!$H:$H,"SI")</f>
        <v>2</v>
      </c>
      <c r="J78" s="1" t="s">
        <v>23</v>
      </c>
      <c r="K78" s="1" t="s">
        <v>633</v>
      </c>
      <c r="L78" s="1" t="s">
        <v>823</v>
      </c>
      <c r="M78" s="1" t="s">
        <v>34</v>
      </c>
      <c r="N78" s="1" t="s">
        <v>31</v>
      </c>
      <c r="O78" s="1" t="s">
        <v>812</v>
      </c>
      <c r="P78" s="9" t="s">
        <v>38</v>
      </c>
      <c r="Q78" s="9" t="s">
        <v>38</v>
      </c>
      <c r="R78" s="9" t="s">
        <v>39</v>
      </c>
      <c r="S78" s="1" t="s">
        <v>829</v>
      </c>
      <c r="T78" s="1" t="s">
        <v>830</v>
      </c>
      <c r="U78" s="12">
        <v>45869</v>
      </c>
    </row>
    <row r="79" spans="1:21" x14ac:dyDescent="0.25">
      <c r="A79" s="1">
        <v>18</v>
      </c>
      <c r="B79" s="1" t="s">
        <v>611</v>
      </c>
      <c r="C79" s="1">
        <v>12</v>
      </c>
      <c r="D79" s="1" t="s">
        <v>724</v>
      </c>
      <c r="E79" s="1" t="s">
        <v>764</v>
      </c>
      <c r="F79" s="1" t="s">
        <v>623</v>
      </c>
      <c r="G79" s="1" t="str">
        <f t="shared" si="1"/>
        <v>INMOBILIARIA SECURITY SAN DAMIÁN SA</v>
      </c>
      <c r="H79" s="1">
        <f>COUNTIFS(RELACIONADAS!$C:$C,CLIENTES!$F79,RELACIONADAS!$G:$G,"SI")</f>
        <v>6</v>
      </c>
      <c r="I79" s="1">
        <f>COUNTIFS(RELACIONADAS!$C:$C,CLIENTES!$F79,RELACIONADAS!$H:$H,"SI")</f>
        <v>2</v>
      </c>
      <c r="J79" s="1" t="s">
        <v>23</v>
      </c>
      <c r="K79" s="1" t="s">
        <v>633</v>
      </c>
      <c r="L79" s="1" t="s">
        <v>823</v>
      </c>
      <c r="M79" s="1" t="s">
        <v>34</v>
      </c>
      <c r="N79" s="1" t="s">
        <v>31</v>
      </c>
      <c r="O79" s="1" t="s">
        <v>812</v>
      </c>
      <c r="P79" s="9" t="s">
        <v>38</v>
      </c>
      <c r="Q79" s="9" t="s">
        <v>38</v>
      </c>
      <c r="R79" s="9" t="s">
        <v>39</v>
      </c>
      <c r="S79" s="1" t="s">
        <v>829</v>
      </c>
      <c r="T79" s="1" t="s">
        <v>830</v>
      </c>
      <c r="U79" s="12">
        <v>45869</v>
      </c>
    </row>
    <row r="80" spans="1:21" x14ac:dyDescent="0.25">
      <c r="A80" s="1">
        <v>18</v>
      </c>
      <c r="B80" s="1" t="s">
        <v>611</v>
      </c>
      <c r="C80" s="1">
        <v>13</v>
      </c>
      <c r="D80" s="1" t="s">
        <v>725</v>
      </c>
      <c r="E80" s="1" t="s">
        <v>765</v>
      </c>
      <c r="F80" s="1" t="s">
        <v>624</v>
      </c>
      <c r="G80" s="1" t="str">
        <f t="shared" si="1"/>
        <v>INMOBILIARIA ALTO SAN RAFAEL SA</v>
      </c>
      <c r="H80" s="1">
        <f>COUNTIFS(RELACIONADAS!$C:$C,CLIENTES!$F80,RELACIONADAS!$G:$G,"SI")</f>
        <v>6</v>
      </c>
      <c r="I80" s="1">
        <f>COUNTIFS(RELACIONADAS!$C:$C,CLIENTES!$F80,RELACIONADAS!$H:$H,"SI")</f>
        <v>2</v>
      </c>
      <c r="J80" s="1" t="s">
        <v>23</v>
      </c>
      <c r="K80" s="1" t="s">
        <v>633</v>
      </c>
      <c r="L80" s="1" t="s">
        <v>823</v>
      </c>
      <c r="M80" s="1" t="s">
        <v>34</v>
      </c>
      <c r="N80" s="1" t="s">
        <v>31</v>
      </c>
      <c r="O80" s="1" t="s">
        <v>812</v>
      </c>
      <c r="P80" s="9" t="s">
        <v>38</v>
      </c>
      <c r="Q80" s="9" t="s">
        <v>38</v>
      </c>
      <c r="R80" s="9" t="s">
        <v>39</v>
      </c>
      <c r="S80" s="1" t="s">
        <v>829</v>
      </c>
      <c r="T80" s="1" t="s">
        <v>830</v>
      </c>
      <c r="U80" s="12">
        <v>45869</v>
      </c>
    </row>
    <row r="81" spans="1:21" x14ac:dyDescent="0.25">
      <c r="A81" s="1">
        <v>18</v>
      </c>
      <c r="B81" s="1" t="s">
        <v>611</v>
      </c>
      <c r="C81" s="1">
        <v>14</v>
      </c>
      <c r="D81" s="1" t="s">
        <v>726</v>
      </c>
      <c r="E81" s="1" t="s">
        <v>766</v>
      </c>
      <c r="F81" s="1" t="s">
        <v>625</v>
      </c>
      <c r="G81" s="1" t="str">
        <f t="shared" si="1"/>
        <v>INMOBILIARIA ALTO CHAMISERO SA</v>
      </c>
      <c r="H81" s="1">
        <f>COUNTIFS(RELACIONADAS!$C:$C,CLIENTES!$F81,RELACIONADAS!$G:$G,"SI")</f>
        <v>6</v>
      </c>
      <c r="I81" s="1">
        <f>COUNTIFS(RELACIONADAS!$C:$C,CLIENTES!$F81,RELACIONADAS!$H:$H,"SI")</f>
        <v>2</v>
      </c>
      <c r="J81" s="1" t="s">
        <v>23</v>
      </c>
      <c r="K81" s="1" t="s">
        <v>633</v>
      </c>
      <c r="L81" s="1" t="s">
        <v>823</v>
      </c>
      <c r="M81" s="1" t="s">
        <v>34</v>
      </c>
      <c r="N81" s="1" t="s">
        <v>31</v>
      </c>
      <c r="O81" s="1" t="s">
        <v>812</v>
      </c>
      <c r="P81" s="9" t="s">
        <v>38</v>
      </c>
      <c r="Q81" s="9" t="s">
        <v>38</v>
      </c>
      <c r="R81" s="9" t="s">
        <v>39</v>
      </c>
      <c r="S81" s="1" t="s">
        <v>829</v>
      </c>
      <c r="T81" s="1" t="s">
        <v>830</v>
      </c>
      <c r="U81" s="12">
        <v>45869</v>
      </c>
    </row>
    <row r="82" spans="1:21" x14ac:dyDescent="0.25">
      <c r="A82" s="1">
        <v>18</v>
      </c>
      <c r="B82" s="1" t="s">
        <v>611</v>
      </c>
      <c r="C82" s="1">
        <v>15</v>
      </c>
      <c r="D82" s="1" t="s">
        <v>727</v>
      </c>
      <c r="E82" s="1" t="s">
        <v>767</v>
      </c>
      <c r="F82" s="1" t="s">
        <v>626</v>
      </c>
      <c r="G82" s="1" t="str">
        <f t="shared" si="1"/>
        <v>INMOBILIARIA EL TAIHUÉN SA</v>
      </c>
      <c r="H82" s="1">
        <f>COUNTIFS(RELACIONADAS!$C:$C,CLIENTES!$F82,RELACIONADAS!$G:$G,"SI")</f>
        <v>6</v>
      </c>
      <c r="I82" s="1">
        <f>COUNTIFS(RELACIONADAS!$C:$C,CLIENTES!$F82,RELACIONADAS!$H:$H,"SI")</f>
        <v>2</v>
      </c>
      <c r="J82" s="1" t="s">
        <v>23</v>
      </c>
      <c r="K82" s="1" t="s">
        <v>633</v>
      </c>
      <c r="L82" s="1" t="s">
        <v>823</v>
      </c>
      <c r="M82" s="1" t="s">
        <v>34</v>
      </c>
      <c r="N82" s="1" t="s">
        <v>31</v>
      </c>
      <c r="O82" s="1" t="s">
        <v>812</v>
      </c>
      <c r="P82" s="9" t="s">
        <v>38</v>
      </c>
      <c r="Q82" s="9" t="s">
        <v>38</v>
      </c>
      <c r="R82" s="9" t="s">
        <v>39</v>
      </c>
      <c r="S82" s="1" t="s">
        <v>829</v>
      </c>
      <c r="T82" s="1" t="s">
        <v>830</v>
      </c>
      <c r="U82" s="12">
        <v>45869</v>
      </c>
    </row>
    <row r="83" spans="1:21" x14ac:dyDescent="0.25">
      <c r="A83" s="1">
        <v>18</v>
      </c>
      <c r="B83" s="1" t="s">
        <v>611</v>
      </c>
      <c r="C83" s="1">
        <v>16</v>
      </c>
      <c r="D83" s="1" t="s">
        <v>728</v>
      </c>
      <c r="E83" s="1" t="s">
        <v>768</v>
      </c>
      <c r="F83" s="1" t="s">
        <v>627</v>
      </c>
      <c r="G83" s="1" t="str">
        <f t="shared" si="1"/>
        <v>INMOBILIARIA ALTO VITACURA SA</v>
      </c>
      <c r="H83" s="1">
        <f>COUNTIFS(RELACIONADAS!$C:$C,CLIENTES!$F83,RELACIONADAS!$G:$G,"SI")</f>
        <v>6</v>
      </c>
      <c r="I83" s="1">
        <f>COUNTIFS(RELACIONADAS!$C:$C,CLIENTES!$F83,RELACIONADAS!$H:$H,"SI")</f>
        <v>2</v>
      </c>
      <c r="J83" s="1" t="s">
        <v>23</v>
      </c>
      <c r="K83" s="1" t="s">
        <v>633</v>
      </c>
      <c r="L83" s="1" t="s">
        <v>823</v>
      </c>
      <c r="M83" s="1" t="s">
        <v>34</v>
      </c>
      <c r="N83" s="1" t="s">
        <v>31</v>
      </c>
      <c r="O83" s="1" t="s">
        <v>812</v>
      </c>
      <c r="P83" s="9" t="s">
        <v>38</v>
      </c>
      <c r="Q83" s="9" t="s">
        <v>38</v>
      </c>
      <c r="R83" s="9" t="s">
        <v>39</v>
      </c>
      <c r="S83" s="1" t="s">
        <v>829</v>
      </c>
      <c r="T83" s="1" t="s">
        <v>830</v>
      </c>
      <c r="U83" s="12">
        <v>45869</v>
      </c>
    </row>
    <row r="84" spans="1:21" x14ac:dyDescent="0.25">
      <c r="A84" s="1">
        <v>18</v>
      </c>
      <c r="B84" s="1" t="s">
        <v>611</v>
      </c>
      <c r="C84" s="1">
        <v>17</v>
      </c>
      <c r="D84" s="1" t="s">
        <v>729</v>
      </c>
      <c r="E84" s="1" t="s">
        <v>769</v>
      </c>
      <c r="F84" s="1" t="s">
        <v>628</v>
      </c>
      <c r="G84" s="1" t="str">
        <f t="shared" si="1"/>
        <v>INMOBILIARIA VISTA LA DEHESA SA</v>
      </c>
      <c r="H84" s="1">
        <f>COUNTIFS(RELACIONADAS!$C:$C,CLIENTES!$F84,RELACIONADAS!$G:$G,"SI")</f>
        <v>6</v>
      </c>
      <c r="I84" s="1">
        <f>COUNTIFS(RELACIONADAS!$C:$C,CLIENTES!$F84,RELACIONADAS!$H:$H,"SI")</f>
        <v>2</v>
      </c>
      <c r="J84" s="1" t="s">
        <v>23</v>
      </c>
      <c r="K84" s="1" t="s">
        <v>633</v>
      </c>
      <c r="L84" s="1" t="s">
        <v>823</v>
      </c>
      <c r="M84" s="1" t="s">
        <v>34</v>
      </c>
      <c r="N84" s="1" t="s">
        <v>31</v>
      </c>
      <c r="O84" s="1" t="s">
        <v>812</v>
      </c>
      <c r="P84" s="9" t="s">
        <v>38</v>
      </c>
      <c r="Q84" s="9" t="s">
        <v>38</v>
      </c>
      <c r="R84" s="9" t="s">
        <v>39</v>
      </c>
      <c r="S84" s="1" t="s">
        <v>829</v>
      </c>
      <c r="T84" s="1" t="s">
        <v>830</v>
      </c>
      <c r="U84" s="12">
        <v>45869</v>
      </c>
    </row>
    <row r="85" spans="1:21" x14ac:dyDescent="0.25">
      <c r="A85" s="1">
        <v>18</v>
      </c>
      <c r="B85" s="1" t="s">
        <v>611</v>
      </c>
      <c r="C85" s="1">
        <v>18</v>
      </c>
      <c r="D85" s="1" t="s">
        <v>730</v>
      </c>
      <c r="E85" s="1" t="s">
        <v>755</v>
      </c>
      <c r="F85" s="1" t="s">
        <v>629</v>
      </c>
      <c r="G85" s="1" t="str">
        <f t="shared" si="1"/>
        <v>INMOBILIARIA LOS DOMINICOS SPA</v>
      </c>
      <c r="H85" s="1">
        <f>COUNTIFS(RELACIONADAS!$C:$C,CLIENTES!$F85,RELACIONADAS!$G:$G,"SI")</f>
        <v>6</v>
      </c>
      <c r="I85" s="1">
        <f>COUNTIFS(RELACIONADAS!$C:$C,CLIENTES!$F85,RELACIONADAS!$H:$H,"SI")</f>
        <v>1</v>
      </c>
      <c r="J85" s="1" t="s">
        <v>23</v>
      </c>
      <c r="K85" s="1" t="s">
        <v>633</v>
      </c>
      <c r="L85" s="1" t="s">
        <v>823</v>
      </c>
      <c r="M85" s="1" t="s">
        <v>34</v>
      </c>
      <c r="N85" s="1" t="s">
        <v>31</v>
      </c>
      <c r="O85" s="1" t="s">
        <v>812</v>
      </c>
      <c r="P85" s="9" t="s">
        <v>38</v>
      </c>
      <c r="Q85" s="9" t="s">
        <v>38</v>
      </c>
      <c r="R85" s="9" t="s">
        <v>39</v>
      </c>
      <c r="S85" s="1" t="s">
        <v>829</v>
      </c>
      <c r="T85" s="1" t="s">
        <v>830</v>
      </c>
      <c r="U85" s="12">
        <v>45869</v>
      </c>
    </row>
    <row r="86" spans="1:21" x14ac:dyDescent="0.25">
      <c r="A86" s="1">
        <v>18</v>
      </c>
      <c r="B86" s="1" t="s">
        <v>611</v>
      </c>
      <c r="C86" s="1">
        <v>19</v>
      </c>
      <c r="D86" s="1" t="s">
        <v>731</v>
      </c>
      <c r="E86" s="1" t="s">
        <v>756</v>
      </c>
      <c r="F86" s="1" t="s">
        <v>630</v>
      </c>
      <c r="G86" s="1" t="str">
        <f t="shared" si="1"/>
        <v>INMOBILIARIA ÑUÑOA V SPA</v>
      </c>
      <c r="H86" s="1">
        <f>COUNTIFS(RELACIONADAS!$C:$C,CLIENTES!$F86,RELACIONADAS!$G:$G,"SI")</f>
        <v>6</v>
      </c>
      <c r="I86" s="1">
        <f>COUNTIFS(RELACIONADAS!$C:$C,CLIENTES!$F86,RELACIONADAS!$H:$H,"SI")</f>
        <v>1</v>
      </c>
      <c r="J86" s="1" t="s">
        <v>23</v>
      </c>
      <c r="K86" s="1" t="s">
        <v>633</v>
      </c>
      <c r="L86" s="1" t="s">
        <v>823</v>
      </c>
      <c r="M86" s="1" t="s">
        <v>34</v>
      </c>
      <c r="N86" s="1" t="s">
        <v>31</v>
      </c>
      <c r="O86" s="1" t="s">
        <v>812</v>
      </c>
      <c r="P86" s="9" t="s">
        <v>38</v>
      </c>
      <c r="Q86" s="9" t="s">
        <v>38</v>
      </c>
      <c r="R86" s="9" t="s">
        <v>39</v>
      </c>
      <c r="S86" s="1" t="s">
        <v>829</v>
      </c>
      <c r="T86" s="1" t="s">
        <v>830</v>
      </c>
      <c r="U86" s="12">
        <v>45869</v>
      </c>
    </row>
    <row r="87" spans="1:21" x14ac:dyDescent="0.25">
      <c r="A87" s="1">
        <v>18</v>
      </c>
      <c r="B87" s="1" t="s">
        <v>611</v>
      </c>
      <c r="C87" s="1">
        <v>20</v>
      </c>
      <c r="D87" s="1" t="s">
        <v>732</v>
      </c>
      <c r="E87" s="1" t="s">
        <v>770</v>
      </c>
      <c r="F87" s="1" t="s">
        <v>631</v>
      </c>
      <c r="G87" s="1" t="str">
        <f t="shared" si="1"/>
        <v>SANTA MARTA SPA</v>
      </c>
      <c r="H87" s="1">
        <f>COUNTIFS(RELACIONADAS!$C:$C,CLIENTES!$F87,RELACIONADAS!$G:$G,"SI")</f>
        <v>5</v>
      </c>
      <c r="I87" s="1">
        <f>COUNTIFS(RELACIONADAS!$C:$C,CLIENTES!$F87,RELACIONADAS!$H:$H,"SI")</f>
        <v>1</v>
      </c>
      <c r="J87" s="1" t="s">
        <v>23</v>
      </c>
      <c r="K87" s="1" t="s">
        <v>633</v>
      </c>
      <c r="L87" s="1" t="s">
        <v>823</v>
      </c>
      <c r="M87" s="1" t="s">
        <v>34</v>
      </c>
      <c r="N87" s="1" t="s">
        <v>31</v>
      </c>
      <c r="O87" s="1" t="s">
        <v>812</v>
      </c>
      <c r="P87" s="9" t="s">
        <v>38</v>
      </c>
      <c r="Q87" s="9" t="s">
        <v>38</v>
      </c>
      <c r="R87" s="9" t="s">
        <v>39</v>
      </c>
      <c r="S87" s="1" t="s">
        <v>829</v>
      </c>
      <c r="T87" s="1" t="s">
        <v>830</v>
      </c>
      <c r="U87" s="12">
        <v>45869</v>
      </c>
    </row>
    <row r="88" spans="1:21" x14ac:dyDescent="0.25">
      <c r="A88" s="1">
        <v>18</v>
      </c>
      <c r="B88" s="1" t="s">
        <v>611</v>
      </c>
      <c r="C88" s="1">
        <v>21</v>
      </c>
      <c r="D88" s="1" t="s">
        <v>733</v>
      </c>
      <c r="E88" s="1" t="s">
        <v>772</v>
      </c>
      <c r="F88" s="1" t="s">
        <v>632</v>
      </c>
      <c r="G88" s="1" t="str">
        <f t="shared" si="1"/>
        <v>INMOBILIARIA SECURITY ONCE SPA</v>
      </c>
      <c r="H88" s="1">
        <f>COUNTIFS(RELACIONADAS!$C:$C,CLIENTES!$F88,RELACIONADAS!$G:$G,"SI")</f>
        <v>5</v>
      </c>
      <c r="I88" s="1">
        <f>COUNTIFS(RELACIONADAS!$C:$C,CLIENTES!$F88,RELACIONADAS!$H:$H,"SI")</f>
        <v>3</v>
      </c>
      <c r="J88" s="1" t="s">
        <v>23</v>
      </c>
      <c r="K88" s="1" t="s">
        <v>633</v>
      </c>
      <c r="L88" s="1" t="s">
        <v>823</v>
      </c>
      <c r="M88" s="1" t="s">
        <v>34</v>
      </c>
      <c r="N88" s="1" t="s">
        <v>31</v>
      </c>
      <c r="O88" s="1" t="s">
        <v>812</v>
      </c>
      <c r="P88" s="9" t="s">
        <v>38</v>
      </c>
      <c r="Q88" s="9" t="s">
        <v>38</v>
      </c>
      <c r="R88" s="9" t="s">
        <v>39</v>
      </c>
      <c r="S88" s="1" t="s">
        <v>829</v>
      </c>
      <c r="T88" s="1" t="s">
        <v>830</v>
      </c>
      <c r="U88" s="12">
        <v>45869</v>
      </c>
    </row>
    <row r="89" spans="1:21" x14ac:dyDescent="0.25">
      <c r="A89" s="1">
        <v>19</v>
      </c>
      <c r="B89" s="1" t="s">
        <v>634</v>
      </c>
      <c r="C89" s="1">
        <v>1</v>
      </c>
      <c r="D89" s="1" t="s">
        <v>834</v>
      </c>
      <c r="E89" s="1" t="s">
        <v>751</v>
      </c>
      <c r="F89" s="1" t="s">
        <v>636</v>
      </c>
      <c r="G89" s="1" t="str">
        <f t="shared" si="1"/>
        <v>SOCIEDAD CIVIL DE RENTAS IGNACIO S.C</v>
      </c>
      <c r="H89" s="1">
        <f>COUNTIFS(RELACIONADAS!$C:$C,CLIENTES!$F89,RELACIONADAS!$G:$G,"SI")</f>
        <v>3</v>
      </c>
      <c r="I89" s="1">
        <f>COUNTIFS(RELACIONADAS!$C:$C,CLIENTES!$F89,RELACIONADAS!$H:$H,"SI")</f>
        <v>3</v>
      </c>
      <c r="J89" s="1" t="s">
        <v>23</v>
      </c>
      <c r="K89" s="1" t="s">
        <v>712</v>
      </c>
      <c r="L89" s="1" t="s">
        <v>823</v>
      </c>
      <c r="M89" s="1" t="s">
        <v>34</v>
      </c>
      <c r="N89" s="1" t="s">
        <v>33</v>
      </c>
      <c r="O89" s="1" t="s">
        <v>812</v>
      </c>
      <c r="P89" s="9" t="s">
        <v>38</v>
      </c>
      <c r="Q89" s="9" t="s">
        <v>38</v>
      </c>
      <c r="R89" s="9" t="s">
        <v>39</v>
      </c>
      <c r="S89" s="1" t="s">
        <v>829</v>
      </c>
      <c r="T89" s="1" t="s">
        <v>830</v>
      </c>
      <c r="U89" s="12">
        <v>45869</v>
      </c>
    </row>
    <row r="90" spans="1:21" x14ac:dyDescent="0.25">
      <c r="A90" s="1">
        <v>20</v>
      </c>
      <c r="B90" s="1" t="s">
        <v>637</v>
      </c>
      <c r="C90" s="1">
        <v>1</v>
      </c>
      <c r="D90" s="1" t="s">
        <v>638</v>
      </c>
      <c r="E90" s="1" t="s">
        <v>779</v>
      </c>
      <c r="F90" s="1" t="s">
        <v>649</v>
      </c>
      <c r="G90" s="1" t="str">
        <f t="shared" si="1"/>
        <v>FERRERO CHILE SA</v>
      </c>
      <c r="H90" s="1">
        <f>COUNTIFS(RELACIONADAS!$C:$C,CLIENTES!$F90,RELACIONADAS!$G:$G,"SI")</f>
        <v>2</v>
      </c>
      <c r="I90" s="1">
        <f>COUNTIFS(RELACIONADAS!$C:$C,CLIENTES!$F90,RELACIONADAS!$H:$H,"SI")</f>
        <v>2</v>
      </c>
      <c r="J90" s="1" t="s">
        <v>23</v>
      </c>
      <c r="K90" s="1" t="s">
        <v>712</v>
      </c>
      <c r="L90" s="1" t="s">
        <v>823</v>
      </c>
      <c r="M90" s="1" t="s">
        <v>34</v>
      </c>
      <c r="N90" s="1" t="s">
        <v>31</v>
      </c>
      <c r="O90" s="1" t="s">
        <v>812</v>
      </c>
      <c r="P90" s="9" t="s">
        <v>38</v>
      </c>
      <c r="Q90" s="9" t="s">
        <v>38</v>
      </c>
      <c r="R90" s="9" t="s">
        <v>39</v>
      </c>
      <c r="S90" s="1" t="s">
        <v>829</v>
      </c>
      <c r="T90" s="1" t="s">
        <v>830</v>
      </c>
      <c r="U90" s="12">
        <v>45869</v>
      </c>
    </row>
    <row r="91" spans="1:21" x14ac:dyDescent="0.25">
      <c r="A91" s="1">
        <v>20</v>
      </c>
      <c r="B91" s="1" t="s">
        <v>637</v>
      </c>
      <c r="C91" s="1">
        <v>2</v>
      </c>
      <c r="D91" s="1" t="s">
        <v>639</v>
      </c>
      <c r="E91" s="1" t="s">
        <v>771</v>
      </c>
      <c r="F91" s="1" t="s">
        <v>650</v>
      </c>
      <c r="G91" s="1" t="str">
        <f t="shared" si="1"/>
        <v>HIDROANGOL SA</v>
      </c>
      <c r="H91" s="1">
        <f>COUNTIFS(RELACIONADAS!$C:$C,CLIENTES!$F91,RELACIONADAS!$G:$G,"SI")</f>
        <v>3</v>
      </c>
      <c r="I91" s="1">
        <f>COUNTIFS(RELACIONADAS!$C:$C,CLIENTES!$F91,RELACIONADAS!$H:$H,"SI")</f>
        <v>2</v>
      </c>
      <c r="J91" s="1" t="s">
        <v>23</v>
      </c>
      <c r="K91" s="1" t="s">
        <v>712</v>
      </c>
      <c r="L91" s="1" t="s">
        <v>823</v>
      </c>
      <c r="M91" s="1" t="s">
        <v>34</v>
      </c>
      <c r="N91" s="1" t="s">
        <v>31</v>
      </c>
      <c r="O91" s="1" t="s">
        <v>812</v>
      </c>
      <c r="P91" s="9" t="s">
        <v>38</v>
      </c>
      <c r="Q91" s="9" t="s">
        <v>38</v>
      </c>
      <c r="R91" s="9" t="s">
        <v>39</v>
      </c>
      <c r="S91" s="1" t="s">
        <v>829</v>
      </c>
      <c r="T91" s="1" t="s">
        <v>830</v>
      </c>
      <c r="U91" s="12">
        <v>45869</v>
      </c>
    </row>
    <row r="92" spans="1:21" x14ac:dyDescent="0.25">
      <c r="A92" s="1">
        <v>20</v>
      </c>
      <c r="B92" s="1" t="s">
        <v>637</v>
      </c>
      <c r="C92" s="1">
        <v>3</v>
      </c>
      <c r="D92" s="1" t="s">
        <v>640</v>
      </c>
      <c r="E92" s="1" t="s">
        <v>773</v>
      </c>
      <c r="F92" s="1" t="s">
        <v>651</v>
      </c>
      <c r="G92" s="1" t="str">
        <f t="shared" si="1"/>
        <v>HIDROBONITO SA</v>
      </c>
      <c r="H92" s="1">
        <f>COUNTIFS(RELACIONADAS!$C:$C,CLIENTES!$F92,RELACIONADAS!$G:$G,"SI")</f>
        <v>3</v>
      </c>
      <c r="I92" s="1">
        <f>COUNTIFS(RELACIONADAS!$C:$C,CLIENTES!$F92,RELACIONADAS!$H:$H,"SI")</f>
        <v>2</v>
      </c>
      <c r="J92" s="1" t="s">
        <v>23</v>
      </c>
      <c r="K92" s="1" t="s">
        <v>712</v>
      </c>
      <c r="L92" s="1" t="s">
        <v>823</v>
      </c>
      <c r="M92" s="1" t="s">
        <v>34</v>
      </c>
      <c r="N92" s="1" t="s">
        <v>31</v>
      </c>
      <c r="O92" s="1" t="s">
        <v>812</v>
      </c>
      <c r="P92" s="9" t="s">
        <v>38</v>
      </c>
      <c r="Q92" s="9" t="s">
        <v>38</v>
      </c>
      <c r="R92" s="9" t="s">
        <v>39</v>
      </c>
      <c r="S92" s="1" t="s">
        <v>829</v>
      </c>
      <c r="T92" s="1" t="s">
        <v>830</v>
      </c>
      <c r="U92" s="12">
        <v>45869</v>
      </c>
    </row>
    <row r="93" spans="1:21" x14ac:dyDescent="0.25">
      <c r="A93" s="1">
        <v>20</v>
      </c>
      <c r="B93" s="1" t="s">
        <v>637</v>
      </c>
      <c r="C93" s="1">
        <v>4</v>
      </c>
      <c r="D93" s="1" t="s">
        <v>641</v>
      </c>
      <c r="E93" s="1" t="s">
        <v>774</v>
      </c>
      <c r="F93" s="1" t="s">
        <v>652</v>
      </c>
      <c r="G93" s="1" t="str">
        <f t="shared" si="1"/>
        <v>HIDROCALLAO SPA</v>
      </c>
      <c r="H93" s="1">
        <f>COUNTIFS(RELACIONADAS!$C:$C,CLIENTES!$F93,RELACIONADAS!$G:$G,"SI")</f>
        <v>2</v>
      </c>
      <c r="I93" s="1">
        <f>COUNTIFS(RELACIONADAS!$C:$C,CLIENTES!$F93,RELACIONADAS!$H:$H,"SI")</f>
        <v>1</v>
      </c>
      <c r="J93" s="1" t="s">
        <v>23</v>
      </c>
      <c r="K93" s="1" t="s">
        <v>712</v>
      </c>
      <c r="L93" s="1" t="s">
        <v>823</v>
      </c>
      <c r="M93" s="1" t="s">
        <v>34</v>
      </c>
      <c r="N93" s="1" t="s">
        <v>31</v>
      </c>
      <c r="O93" s="1" t="s">
        <v>812</v>
      </c>
      <c r="P93" s="9" t="s">
        <v>38</v>
      </c>
      <c r="Q93" s="9" t="s">
        <v>38</v>
      </c>
      <c r="R93" s="9" t="s">
        <v>39</v>
      </c>
      <c r="S93" s="1" t="s">
        <v>829</v>
      </c>
      <c r="T93" s="1" t="s">
        <v>830</v>
      </c>
      <c r="U93" s="12">
        <v>45869</v>
      </c>
    </row>
    <row r="94" spans="1:21" x14ac:dyDescent="0.25">
      <c r="A94" s="1">
        <v>20</v>
      </c>
      <c r="B94" s="1" t="s">
        <v>637</v>
      </c>
      <c r="C94" s="1">
        <v>5</v>
      </c>
      <c r="D94" s="1" t="s">
        <v>642</v>
      </c>
      <c r="E94" s="1" t="s">
        <v>775</v>
      </c>
      <c r="F94" s="1" t="s">
        <v>653</v>
      </c>
      <c r="G94" s="1" t="str">
        <f t="shared" si="1"/>
        <v>HIDROENERSUR SA</v>
      </c>
      <c r="H94" s="1">
        <f>COUNTIFS(RELACIONADAS!$C:$C,CLIENTES!$F94,RELACIONADAS!$G:$G,"SI")</f>
        <v>3</v>
      </c>
      <c r="I94" s="1">
        <f>COUNTIFS(RELACIONADAS!$C:$C,CLIENTES!$F94,RELACIONADAS!$H:$H,"SI")</f>
        <v>2</v>
      </c>
      <c r="J94" s="1" t="s">
        <v>23</v>
      </c>
      <c r="K94" s="1" t="s">
        <v>712</v>
      </c>
      <c r="L94" s="1" t="s">
        <v>823</v>
      </c>
      <c r="M94" s="1" t="s">
        <v>34</v>
      </c>
      <c r="N94" s="1" t="s">
        <v>31</v>
      </c>
      <c r="O94" s="1" t="s">
        <v>812</v>
      </c>
      <c r="P94" s="9" t="s">
        <v>38</v>
      </c>
      <c r="Q94" s="9" t="s">
        <v>38</v>
      </c>
      <c r="R94" s="9" t="s">
        <v>39</v>
      </c>
      <c r="S94" s="1" t="s">
        <v>829</v>
      </c>
      <c r="T94" s="1" t="s">
        <v>830</v>
      </c>
      <c r="U94" s="12">
        <v>45869</v>
      </c>
    </row>
    <row r="95" spans="1:21" x14ac:dyDescent="0.25">
      <c r="A95" s="1">
        <v>20</v>
      </c>
      <c r="B95" s="1" t="s">
        <v>637</v>
      </c>
      <c r="C95" s="1">
        <v>6</v>
      </c>
      <c r="D95" s="1" t="s">
        <v>643</v>
      </c>
      <c r="E95" s="1" t="s">
        <v>776</v>
      </c>
      <c r="F95" s="1" t="s">
        <v>654</v>
      </c>
      <c r="G95" s="1" t="str">
        <f t="shared" si="1"/>
        <v>HIDROMOCHO SA</v>
      </c>
      <c r="H95" s="1">
        <f>COUNTIFS(RELACIONADAS!$C:$C,CLIENTES!$F95,RELACIONADAS!$G:$G,"SI")</f>
        <v>1</v>
      </c>
      <c r="I95" s="1">
        <f>COUNTIFS(RELACIONADAS!$C:$C,CLIENTES!$F95,RELACIONADAS!$H:$H,"SI")</f>
        <v>2</v>
      </c>
      <c r="J95" s="1" t="s">
        <v>23</v>
      </c>
      <c r="K95" s="1" t="s">
        <v>712</v>
      </c>
      <c r="L95" s="1" t="s">
        <v>823</v>
      </c>
      <c r="M95" s="1" t="s">
        <v>34</v>
      </c>
      <c r="N95" s="1" t="s">
        <v>31</v>
      </c>
      <c r="O95" s="1" t="s">
        <v>812</v>
      </c>
      <c r="P95" s="9" t="s">
        <v>38</v>
      </c>
      <c r="Q95" s="9" t="s">
        <v>38</v>
      </c>
      <c r="R95" s="9" t="s">
        <v>39</v>
      </c>
      <c r="S95" s="1" t="s">
        <v>829</v>
      </c>
      <c r="T95" s="1" t="s">
        <v>830</v>
      </c>
      <c r="U95" s="12">
        <v>45869</v>
      </c>
    </row>
    <row r="96" spans="1:21" x14ac:dyDescent="0.25">
      <c r="A96" s="1">
        <v>20</v>
      </c>
      <c r="B96" s="1" t="s">
        <v>637</v>
      </c>
      <c r="C96" s="1">
        <v>7</v>
      </c>
      <c r="D96" s="1" t="s">
        <v>644</v>
      </c>
      <c r="E96" s="1" t="s">
        <v>777</v>
      </c>
      <c r="F96" s="1" t="s">
        <v>655</v>
      </c>
      <c r="G96" s="1" t="str">
        <f t="shared" si="1"/>
        <v>HIDRONALCAS SPA</v>
      </c>
      <c r="H96" s="1">
        <f>COUNTIFS(RELACIONADAS!$C:$C,CLIENTES!$F96,RELACIONADAS!$G:$G,"SI")</f>
        <v>2</v>
      </c>
      <c r="I96" s="1">
        <f>COUNTIFS(RELACIONADAS!$C:$C,CLIENTES!$F96,RELACIONADAS!$H:$H,"SI")</f>
        <v>1</v>
      </c>
      <c r="J96" s="1" t="s">
        <v>23</v>
      </c>
      <c r="K96" s="1" t="s">
        <v>712</v>
      </c>
      <c r="L96" s="1" t="s">
        <v>823</v>
      </c>
      <c r="M96" s="1" t="s">
        <v>34</v>
      </c>
      <c r="N96" s="1" t="s">
        <v>31</v>
      </c>
      <c r="O96" s="1" t="s">
        <v>812</v>
      </c>
      <c r="P96" s="9" t="s">
        <v>38</v>
      </c>
      <c r="Q96" s="9" t="s">
        <v>38</v>
      </c>
      <c r="R96" s="9" t="s">
        <v>39</v>
      </c>
      <c r="S96" s="1" t="s">
        <v>829</v>
      </c>
      <c r="T96" s="1" t="s">
        <v>830</v>
      </c>
      <c r="U96" s="12">
        <v>45869</v>
      </c>
    </row>
    <row r="97" spans="1:21" x14ac:dyDescent="0.25">
      <c r="A97" s="1">
        <v>20</v>
      </c>
      <c r="B97" s="1" t="s">
        <v>637</v>
      </c>
      <c r="C97" s="1">
        <v>8</v>
      </c>
      <c r="D97" s="1" t="s">
        <v>645</v>
      </c>
      <c r="E97" s="1" t="s">
        <v>778</v>
      </c>
      <c r="F97" s="1" t="s">
        <v>656</v>
      </c>
      <c r="G97" s="1" t="str">
        <f t="shared" si="1"/>
        <v>HIDROPALMAR SA</v>
      </c>
      <c r="H97" s="1">
        <f>COUNTIFS(RELACIONADAS!$C:$C,CLIENTES!$F97,RELACIONADAS!$G:$G,"SI")</f>
        <v>3</v>
      </c>
      <c r="I97" s="1">
        <f>COUNTIFS(RELACIONADAS!$C:$C,CLIENTES!$F97,RELACIONADAS!$H:$H,"SI")</f>
        <v>2</v>
      </c>
      <c r="J97" s="1" t="s">
        <v>23</v>
      </c>
      <c r="K97" s="1" t="s">
        <v>712</v>
      </c>
      <c r="L97" s="1" t="s">
        <v>823</v>
      </c>
      <c r="M97" s="1" t="s">
        <v>34</v>
      </c>
      <c r="N97" s="1" t="s">
        <v>31</v>
      </c>
      <c r="O97" s="1" t="s">
        <v>812</v>
      </c>
      <c r="P97" s="9" t="s">
        <v>38</v>
      </c>
      <c r="Q97" s="9" t="s">
        <v>38</v>
      </c>
      <c r="R97" s="9" t="s">
        <v>39</v>
      </c>
      <c r="S97" s="1" t="s">
        <v>829</v>
      </c>
      <c r="T97" s="1" t="s">
        <v>830</v>
      </c>
      <c r="U97" s="12">
        <v>45869</v>
      </c>
    </row>
    <row r="98" spans="1:21" x14ac:dyDescent="0.25">
      <c r="A98" s="1">
        <v>20</v>
      </c>
      <c r="B98" s="1" t="s">
        <v>637</v>
      </c>
      <c r="C98" s="1">
        <v>9</v>
      </c>
      <c r="D98" s="1" t="s">
        <v>646</v>
      </c>
      <c r="E98" s="1" t="s">
        <v>781</v>
      </c>
      <c r="F98" s="1" t="s">
        <v>657</v>
      </c>
      <c r="G98" s="1" t="str">
        <f t="shared" si="1"/>
        <v>SIED CHILE SA</v>
      </c>
      <c r="H98" s="1">
        <f>COUNTIFS(RELACIONADAS!$C:$C,CLIENTES!$F98,RELACIONADAS!$G:$G,"SI")</f>
        <v>2</v>
      </c>
      <c r="I98" s="1">
        <f>COUNTIFS(RELACIONADAS!$C:$C,CLIENTES!$F98,RELACIONADAS!$H:$H,"SI")</f>
        <v>2</v>
      </c>
      <c r="J98" s="1" t="s">
        <v>23</v>
      </c>
      <c r="K98" s="1" t="s">
        <v>712</v>
      </c>
      <c r="L98" s="1" t="s">
        <v>823</v>
      </c>
      <c r="M98" s="1" t="s">
        <v>34</v>
      </c>
      <c r="N98" s="1" t="s">
        <v>31</v>
      </c>
      <c r="O98" s="1" t="s">
        <v>812</v>
      </c>
      <c r="P98" s="9" t="s">
        <v>38</v>
      </c>
      <c r="Q98" s="9" t="s">
        <v>38</v>
      </c>
      <c r="R98" s="9" t="s">
        <v>39</v>
      </c>
      <c r="S98" s="1" t="s">
        <v>829</v>
      </c>
      <c r="T98" s="1" t="s">
        <v>830</v>
      </c>
      <c r="U98" s="12">
        <v>45869</v>
      </c>
    </row>
    <row r="99" spans="1:21" x14ac:dyDescent="0.25">
      <c r="A99" s="1">
        <v>20</v>
      </c>
      <c r="B99" s="1" t="s">
        <v>637</v>
      </c>
      <c r="C99" s="1">
        <v>10</v>
      </c>
      <c r="D99" s="1" t="s">
        <v>647</v>
      </c>
      <c r="E99" s="1" t="s">
        <v>782</v>
      </c>
      <c r="F99" s="1" t="s">
        <v>658</v>
      </c>
      <c r="G99" s="1" t="str">
        <f t="shared" si="1"/>
        <v>TORINO SPA</v>
      </c>
      <c r="H99" s="1">
        <f>COUNTIFS(RELACIONADAS!$C:$C,CLIENTES!$F99,RELACIONADAS!$G:$G,"SI")</f>
        <v>1</v>
      </c>
      <c r="I99" s="1">
        <f>COUNTIFS(RELACIONADAS!$C:$C,CLIENTES!$F99,RELACIONADAS!$H:$H,"SI")</f>
        <v>3</v>
      </c>
      <c r="J99" s="1" t="s">
        <v>23</v>
      </c>
      <c r="K99" s="1" t="s">
        <v>712</v>
      </c>
      <c r="L99" s="1" t="s">
        <v>823</v>
      </c>
      <c r="M99" s="1" t="s">
        <v>34</v>
      </c>
      <c r="N99" s="1" t="s">
        <v>31</v>
      </c>
      <c r="O99" s="1" t="s">
        <v>812</v>
      </c>
      <c r="P99" s="9" t="s">
        <v>38</v>
      </c>
      <c r="Q99" s="9" t="s">
        <v>38</v>
      </c>
      <c r="R99" s="9" t="s">
        <v>39</v>
      </c>
      <c r="S99" s="1" t="s">
        <v>829</v>
      </c>
      <c r="T99" s="1" t="s">
        <v>830</v>
      </c>
      <c r="U99" s="12">
        <v>45869</v>
      </c>
    </row>
    <row r="100" spans="1:21" x14ac:dyDescent="0.25">
      <c r="A100" s="1">
        <v>20</v>
      </c>
      <c r="B100" s="1" t="s">
        <v>637</v>
      </c>
      <c r="C100" s="1">
        <v>11</v>
      </c>
      <c r="D100" s="1" t="s">
        <v>648</v>
      </c>
      <c r="E100" s="1" t="s">
        <v>783</v>
      </c>
      <c r="F100" s="1" t="s">
        <v>659</v>
      </c>
      <c r="G100" s="1" t="str">
        <f t="shared" si="1"/>
        <v>CUMBRES SPA</v>
      </c>
      <c r="H100" s="1">
        <f>COUNTIFS(RELACIONADAS!$C:$C,CLIENTES!$F100,RELACIONADAS!$G:$G,"SI")</f>
        <v>2</v>
      </c>
      <c r="I100" s="1">
        <f>COUNTIFS(RELACIONADAS!$C:$C,CLIENTES!$F100,RELACIONADAS!$H:$H,"SI")</f>
        <v>1</v>
      </c>
      <c r="J100" s="1" t="s">
        <v>23</v>
      </c>
      <c r="K100" s="1" t="s">
        <v>712</v>
      </c>
      <c r="L100" s="1" t="s">
        <v>823</v>
      </c>
      <c r="M100" s="1" t="s">
        <v>34</v>
      </c>
      <c r="N100" s="1" t="s">
        <v>31</v>
      </c>
      <c r="O100" s="1" t="s">
        <v>812</v>
      </c>
      <c r="P100" s="9" t="s">
        <v>38</v>
      </c>
      <c r="Q100" s="9" t="s">
        <v>38</v>
      </c>
      <c r="R100" s="9" t="s">
        <v>39</v>
      </c>
      <c r="S100" s="1" t="s">
        <v>829</v>
      </c>
      <c r="T100" s="1" t="s">
        <v>830</v>
      </c>
      <c r="U100" s="12">
        <v>45869</v>
      </c>
    </row>
    <row r="101" spans="1:21" x14ac:dyDescent="0.25">
      <c r="A101" s="1">
        <v>21</v>
      </c>
      <c r="B101" s="1" t="s">
        <v>660</v>
      </c>
      <c r="C101" s="1">
        <v>1</v>
      </c>
      <c r="D101" s="1" t="s">
        <v>661</v>
      </c>
      <c r="E101" s="1" t="s">
        <v>784</v>
      </c>
      <c r="F101" s="1" t="s">
        <v>664</v>
      </c>
      <c r="G101" s="1" t="str">
        <f t="shared" si="1"/>
        <v>VITT SPA</v>
      </c>
      <c r="H101" s="1">
        <f>COUNTIFS(RELACIONADAS!$C:$C,CLIENTES!$F101,RELACIONADAS!$G:$G,"SI")</f>
        <v>2</v>
      </c>
      <c r="I101" s="1">
        <f>COUNTIFS(RELACIONADAS!$C:$C,CLIENTES!$F101,RELACIONADAS!$H:$H,"SI")</f>
        <v>2</v>
      </c>
      <c r="J101" s="1" t="s">
        <v>23</v>
      </c>
      <c r="K101" s="1" t="s">
        <v>712</v>
      </c>
      <c r="L101" s="1" t="s">
        <v>823</v>
      </c>
      <c r="M101" s="1" t="s">
        <v>34</v>
      </c>
      <c r="N101" s="1" t="s">
        <v>31</v>
      </c>
      <c r="O101" s="1" t="s">
        <v>812</v>
      </c>
      <c r="P101" s="9" t="s">
        <v>38</v>
      </c>
      <c r="Q101" s="9" t="s">
        <v>38</v>
      </c>
      <c r="R101" s="9" t="s">
        <v>39</v>
      </c>
      <c r="S101" s="1" t="s">
        <v>829</v>
      </c>
      <c r="T101" s="1" t="s">
        <v>830</v>
      </c>
      <c r="U101" s="12">
        <v>45869</v>
      </c>
    </row>
    <row r="102" spans="1:21" x14ac:dyDescent="0.25">
      <c r="A102" s="1">
        <v>21</v>
      </c>
      <c r="B102" s="1" t="s">
        <v>660</v>
      </c>
      <c r="C102" s="1">
        <f>C101+1</f>
        <v>2</v>
      </c>
      <c r="D102" s="1" t="s">
        <v>662</v>
      </c>
      <c r="E102" s="1" t="s">
        <v>787</v>
      </c>
      <c r="F102" s="1" t="s">
        <v>665</v>
      </c>
      <c r="G102" s="1" t="str">
        <f t="shared" si="1"/>
        <v>INVERSIONES BLANQUITA SPA</v>
      </c>
      <c r="H102" s="1">
        <f>COUNTIFS(RELACIONADAS!$C:$C,CLIENTES!$F102,RELACIONADAS!$G:$G,"SI")</f>
        <v>2</v>
      </c>
      <c r="I102" s="1">
        <f>COUNTIFS(RELACIONADAS!$C:$C,CLIENTES!$F102,RELACIONADAS!$H:$H,"SI")</f>
        <v>2</v>
      </c>
      <c r="J102" s="1" t="s">
        <v>23</v>
      </c>
      <c r="K102" s="1" t="s">
        <v>712</v>
      </c>
      <c r="L102" s="1" t="s">
        <v>823</v>
      </c>
      <c r="M102" s="1" t="s">
        <v>34</v>
      </c>
      <c r="N102" s="1" t="s">
        <v>31</v>
      </c>
      <c r="O102" s="1" t="s">
        <v>812</v>
      </c>
      <c r="P102" s="9" t="s">
        <v>38</v>
      </c>
      <c r="Q102" s="9" t="s">
        <v>38</v>
      </c>
      <c r="R102" s="9" t="s">
        <v>39</v>
      </c>
      <c r="S102" s="1" t="s">
        <v>829</v>
      </c>
      <c r="T102" s="1" t="s">
        <v>830</v>
      </c>
      <c r="U102" s="12">
        <v>45869</v>
      </c>
    </row>
    <row r="103" spans="1:21" x14ac:dyDescent="0.25">
      <c r="A103" s="1">
        <v>21</v>
      </c>
      <c r="B103" s="1" t="s">
        <v>660</v>
      </c>
      <c r="C103" s="1">
        <f t="shared" ref="C103:C109" si="2">C102+1</f>
        <v>3</v>
      </c>
      <c r="D103" s="1" t="s">
        <v>806</v>
      </c>
      <c r="E103" s="1" t="s">
        <v>734</v>
      </c>
      <c r="F103" s="1" t="s">
        <v>666</v>
      </c>
      <c r="G103" s="1" t="str">
        <f t="shared" si="1"/>
        <v>URBAN DEVELOPMENT ASESORIAS LIMITADA</v>
      </c>
      <c r="H103" s="1">
        <f>COUNTIFS(RELACIONADAS!$C:$C,CLIENTES!$F103,RELACIONADAS!$G:$G,"SI")</f>
        <v>2</v>
      </c>
      <c r="I103" s="1">
        <f>COUNTIFS(RELACIONADAS!$C:$C,CLIENTES!$F103,RELACIONADAS!$H:$H,"SI")</f>
        <v>2</v>
      </c>
      <c r="J103" s="1" t="s">
        <v>23</v>
      </c>
      <c r="K103" s="1" t="s">
        <v>712</v>
      </c>
      <c r="L103" s="1" t="s">
        <v>823</v>
      </c>
      <c r="M103" s="1" t="s">
        <v>34</v>
      </c>
      <c r="N103" s="1" t="s">
        <v>31</v>
      </c>
      <c r="O103" s="1" t="s">
        <v>812</v>
      </c>
      <c r="P103" s="9" t="s">
        <v>38</v>
      </c>
      <c r="Q103" s="9" t="s">
        <v>38</v>
      </c>
      <c r="R103" s="9" t="s">
        <v>39</v>
      </c>
      <c r="S103" s="1" t="s">
        <v>829</v>
      </c>
      <c r="T103" s="1" t="s">
        <v>830</v>
      </c>
      <c r="U103" s="12">
        <v>45869</v>
      </c>
    </row>
    <row r="104" spans="1:21" x14ac:dyDescent="0.25">
      <c r="A104" s="1">
        <v>21</v>
      </c>
      <c r="B104" s="1" t="s">
        <v>660</v>
      </c>
      <c r="C104" s="1">
        <f t="shared" si="2"/>
        <v>4</v>
      </c>
      <c r="D104" s="1" t="s">
        <v>663</v>
      </c>
      <c r="E104" s="1" t="s">
        <v>788</v>
      </c>
      <c r="F104" s="1" t="s">
        <v>667</v>
      </c>
      <c r="G104" s="1" t="str">
        <f t="shared" si="1"/>
        <v>INMOBILIARIA ANGUSMAR SPA</v>
      </c>
      <c r="H104" s="1">
        <f>COUNTIFS(RELACIONADAS!$C:$C,CLIENTES!$F104,RELACIONADAS!$G:$G,"SI")</f>
        <v>2</v>
      </c>
      <c r="I104" s="1">
        <f>COUNTIFS(RELACIONADAS!$C:$C,CLIENTES!$F104,RELACIONADAS!$H:$H,"SI")</f>
        <v>8</v>
      </c>
      <c r="J104" s="1" t="s">
        <v>23</v>
      </c>
      <c r="K104" s="1" t="s">
        <v>712</v>
      </c>
      <c r="L104" s="1" t="s">
        <v>823</v>
      </c>
      <c r="M104" s="1" t="s">
        <v>34</v>
      </c>
      <c r="N104" s="1" t="s">
        <v>31</v>
      </c>
      <c r="O104" s="1" t="s">
        <v>812</v>
      </c>
      <c r="P104" s="9" t="s">
        <v>38</v>
      </c>
      <c r="Q104" s="9" t="s">
        <v>38</v>
      </c>
      <c r="R104" s="9" t="s">
        <v>39</v>
      </c>
      <c r="S104" s="1" t="s">
        <v>829</v>
      </c>
      <c r="T104" s="1" t="s">
        <v>830</v>
      </c>
      <c r="U104" s="12">
        <v>45869</v>
      </c>
    </row>
    <row r="105" spans="1:21" x14ac:dyDescent="0.25">
      <c r="A105" s="1">
        <v>21</v>
      </c>
      <c r="B105" s="1" t="s">
        <v>660</v>
      </c>
      <c r="C105" s="1">
        <f t="shared" si="2"/>
        <v>5</v>
      </c>
      <c r="D105" s="1" t="s">
        <v>815</v>
      </c>
      <c r="E105" s="1" t="s">
        <v>735</v>
      </c>
      <c r="F105" s="1" t="s">
        <v>668</v>
      </c>
      <c r="G105" s="1" t="str">
        <f t="shared" si="1"/>
        <v>INMOBILIARIA SOLINGEN SPA</v>
      </c>
      <c r="H105" s="1">
        <f>COUNTIFS(RELACIONADAS!$C:$C,CLIENTES!$F105,RELACIONADAS!$G:$G,"SI")</f>
        <v>2</v>
      </c>
      <c r="I105" s="1">
        <f>COUNTIFS(RELACIONADAS!$C:$C,CLIENTES!$F105,RELACIONADAS!$H:$H,"SI")</f>
        <v>16</v>
      </c>
      <c r="J105" s="1" t="s">
        <v>23</v>
      </c>
      <c r="K105" s="1" t="s">
        <v>712</v>
      </c>
      <c r="L105" s="1" t="s">
        <v>823</v>
      </c>
      <c r="M105" s="1" t="s">
        <v>34</v>
      </c>
      <c r="N105" s="1" t="s">
        <v>31</v>
      </c>
      <c r="O105" s="1" t="s">
        <v>812</v>
      </c>
      <c r="P105" s="9" t="s">
        <v>38</v>
      </c>
      <c r="Q105" s="9" t="s">
        <v>38</v>
      </c>
      <c r="R105" s="9" t="s">
        <v>39</v>
      </c>
      <c r="S105" s="1" t="s">
        <v>829</v>
      </c>
      <c r="T105" s="1" t="s">
        <v>830</v>
      </c>
      <c r="U105" s="12">
        <v>45869</v>
      </c>
    </row>
    <row r="106" spans="1:21" x14ac:dyDescent="0.25">
      <c r="A106" s="1">
        <v>21</v>
      </c>
      <c r="B106" s="1" t="s">
        <v>660</v>
      </c>
      <c r="C106" s="1">
        <f t="shared" si="2"/>
        <v>6</v>
      </c>
      <c r="D106" s="1" t="s">
        <v>807</v>
      </c>
      <c r="E106" s="1" t="s">
        <v>785</v>
      </c>
      <c r="F106" s="1" t="s">
        <v>669</v>
      </c>
      <c r="G106" s="1" t="str">
        <f t="shared" si="1"/>
        <v>MONICA SAHR C Y COMPANIA LIMITADA</v>
      </c>
      <c r="H106" s="1">
        <f>COUNTIFS(RELACIONADAS!$C:$C,CLIENTES!$F106,RELACIONADAS!$G:$G,"SI")</f>
        <v>2</v>
      </c>
      <c r="I106" s="1">
        <f>COUNTIFS(RELACIONADAS!$C:$C,CLIENTES!$F106,RELACIONADAS!$H:$H,"SI")</f>
        <v>2</v>
      </c>
      <c r="J106" s="1" t="s">
        <v>23</v>
      </c>
      <c r="K106" s="1" t="s">
        <v>712</v>
      </c>
      <c r="L106" s="1" t="s">
        <v>823</v>
      </c>
      <c r="M106" s="1" t="s">
        <v>34</v>
      </c>
      <c r="N106" s="1" t="s">
        <v>31</v>
      </c>
      <c r="O106" s="1" t="s">
        <v>812</v>
      </c>
      <c r="P106" s="9" t="s">
        <v>38</v>
      </c>
      <c r="Q106" s="9" t="s">
        <v>38</v>
      </c>
      <c r="R106" s="9" t="s">
        <v>39</v>
      </c>
      <c r="S106" s="1" t="s">
        <v>829</v>
      </c>
      <c r="T106" s="1" t="s">
        <v>830</v>
      </c>
      <c r="U106" s="12">
        <v>45869</v>
      </c>
    </row>
    <row r="107" spans="1:21" x14ac:dyDescent="0.25">
      <c r="A107" s="1">
        <v>21</v>
      </c>
      <c r="B107" s="1" t="s">
        <v>660</v>
      </c>
      <c r="C107" s="1">
        <f t="shared" si="2"/>
        <v>7</v>
      </c>
      <c r="D107" s="1" t="s">
        <v>808</v>
      </c>
      <c r="E107" s="1" t="s">
        <v>737</v>
      </c>
      <c r="F107" s="1" t="s">
        <v>670</v>
      </c>
      <c r="G107" s="1" t="str">
        <f t="shared" si="1"/>
        <v>INVERSIONES MACDONALD FORD LIMITADA</v>
      </c>
      <c r="H107" s="1">
        <f>COUNTIFS(RELACIONADAS!$C:$C,CLIENTES!$F107,RELACIONADAS!$G:$G,"SI")</f>
        <v>2</v>
      </c>
      <c r="I107" s="1">
        <f>COUNTIFS(RELACIONADAS!$C:$C,CLIENTES!$F107,RELACIONADAS!$H:$H,"SI")</f>
        <v>2</v>
      </c>
      <c r="J107" s="1" t="s">
        <v>23</v>
      </c>
      <c r="K107" s="1" t="s">
        <v>712</v>
      </c>
      <c r="L107" s="1" t="s">
        <v>823</v>
      </c>
      <c r="M107" s="1" t="s">
        <v>34</v>
      </c>
      <c r="N107" s="1" t="s">
        <v>31</v>
      </c>
      <c r="O107" s="1" t="s">
        <v>812</v>
      </c>
      <c r="P107" s="9" t="s">
        <v>38</v>
      </c>
      <c r="Q107" s="9" t="s">
        <v>38</v>
      </c>
      <c r="R107" s="9" t="s">
        <v>39</v>
      </c>
      <c r="S107" s="1" t="s">
        <v>829</v>
      </c>
      <c r="T107" s="1" t="s">
        <v>830</v>
      </c>
      <c r="U107" s="12">
        <v>45869</v>
      </c>
    </row>
    <row r="108" spans="1:21" x14ac:dyDescent="0.25">
      <c r="A108" s="1">
        <v>21</v>
      </c>
      <c r="B108" s="1" t="s">
        <v>660</v>
      </c>
      <c r="C108" s="1">
        <f t="shared" si="2"/>
        <v>8</v>
      </c>
      <c r="D108" s="1" t="s">
        <v>809</v>
      </c>
      <c r="E108" s="1" t="s">
        <v>738</v>
      </c>
      <c r="F108" s="1" t="s">
        <v>671</v>
      </c>
      <c r="G108" s="1" t="str">
        <f t="shared" si="1"/>
        <v>COMERCIALIZADORA SIMPLETECH LIMITADA</v>
      </c>
      <c r="H108" s="1">
        <f>COUNTIFS(RELACIONADAS!$C:$C,CLIENTES!$F108,RELACIONADAS!$G:$G,"SI")</f>
        <v>1</v>
      </c>
      <c r="I108" s="1">
        <f>COUNTIFS(RELACIONADAS!$C:$C,CLIENTES!$F108,RELACIONADAS!$H:$H,"SI")</f>
        <v>2</v>
      </c>
      <c r="J108" s="1" t="s">
        <v>23</v>
      </c>
      <c r="K108" s="1" t="s">
        <v>712</v>
      </c>
      <c r="L108" s="1" t="s">
        <v>823</v>
      </c>
      <c r="M108" s="1" t="s">
        <v>34</v>
      </c>
      <c r="N108" s="1" t="s">
        <v>31</v>
      </c>
      <c r="O108" s="1" t="s">
        <v>812</v>
      </c>
      <c r="P108" s="9" t="s">
        <v>38</v>
      </c>
      <c r="Q108" s="9" t="s">
        <v>38</v>
      </c>
      <c r="R108" s="9" t="s">
        <v>39</v>
      </c>
      <c r="S108" s="1" t="s">
        <v>829</v>
      </c>
      <c r="T108" s="1" t="s">
        <v>830</v>
      </c>
      <c r="U108" s="12">
        <v>45869</v>
      </c>
    </row>
    <row r="109" spans="1:21" x14ac:dyDescent="0.25">
      <c r="A109" s="1">
        <v>21</v>
      </c>
      <c r="B109" s="1" t="s">
        <v>660</v>
      </c>
      <c r="C109" s="1">
        <f t="shared" si="2"/>
        <v>9</v>
      </c>
      <c r="D109" s="1" t="s">
        <v>810</v>
      </c>
      <c r="E109" s="1" t="s">
        <v>789</v>
      </c>
      <c r="F109" s="1" t="s">
        <v>672</v>
      </c>
      <c r="G109" s="1" t="str">
        <f t="shared" si="1"/>
        <v>SUBCENTRO LAS CONDES SA</v>
      </c>
      <c r="H109" s="1">
        <f>COUNTIFS(RELACIONADAS!$C:$C,CLIENTES!$F109,RELACIONADAS!$G:$G,"SI")</f>
        <v>1</v>
      </c>
      <c r="I109" s="1">
        <f>COUNTIFS(RELACIONADAS!$C:$C,CLIENTES!$F109,RELACIONADAS!$H:$H,"SI")</f>
        <v>9</v>
      </c>
      <c r="J109" s="1" t="s">
        <v>23</v>
      </c>
      <c r="K109" s="1" t="s">
        <v>712</v>
      </c>
      <c r="L109" s="1" t="s">
        <v>823</v>
      </c>
      <c r="M109" s="1" t="s">
        <v>34</v>
      </c>
      <c r="N109" s="1" t="s">
        <v>31</v>
      </c>
      <c r="O109" s="1" t="s">
        <v>812</v>
      </c>
      <c r="P109" s="9" t="s">
        <v>38</v>
      </c>
      <c r="Q109" s="9" t="s">
        <v>38</v>
      </c>
      <c r="R109" s="9" t="s">
        <v>39</v>
      </c>
      <c r="S109" s="1" t="s">
        <v>829</v>
      </c>
      <c r="T109" s="1" t="s">
        <v>830</v>
      </c>
      <c r="U109" s="12">
        <v>45869</v>
      </c>
    </row>
    <row r="110" spans="1:21" x14ac:dyDescent="0.25">
      <c r="A110" s="1">
        <v>22</v>
      </c>
      <c r="B110" s="1" t="s">
        <v>673</v>
      </c>
      <c r="C110" s="1">
        <v>1</v>
      </c>
      <c r="D110" s="1" t="s">
        <v>674</v>
      </c>
      <c r="E110" s="1" t="s">
        <v>790</v>
      </c>
      <c r="F110" s="1" t="s">
        <v>678</v>
      </c>
      <c r="G110" s="1" t="str">
        <f t="shared" si="1"/>
        <v>AGRICOLA COVADONGA LIMITADA</v>
      </c>
      <c r="H110" s="1">
        <f>COUNTIFS(RELACIONADAS!$C:$C,CLIENTES!$F110,RELACIONADAS!$G:$G,"SI")</f>
        <v>1</v>
      </c>
      <c r="I110" s="1">
        <f>COUNTIFS(RELACIONADAS!$C:$C,CLIENTES!$F110,RELACIONADAS!$H:$H,"SI")</f>
        <v>2</v>
      </c>
      <c r="J110" s="1" t="s">
        <v>23</v>
      </c>
      <c r="K110" s="1" t="s">
        <v>712</v>
      </c>
      <c r="L110" s="1" t="s">
        <v>823</v>
      </c>
      <c r="M110" s="1" t="s">
        <v>34</v>
      </c>
      <c r="N110" s="1" t="s">
        <v>31</v>
      </c>
      <c r="O110" s="1" t="s">
        <v>812</v>
      </c>
      <c r="P110" s="9" t="s">
        <v>38</v>
      </c>
      <c r="Q110" s="9" t="s">
        <v>38</v>
      </c>
      <c r="R110" s="9" t="s">
        <v>39</v>
      </c>
      <c r="S110" s="1" t="s">
        <v>829</v>
      </c>
      <c r="T110" s="1" t="s">
        <v>830</v>
      </c>
      <c r="U110" s="12">
        <v>45869</v>
      </c>
    </row>
    <row r="111" spans="1:21" x14ac:dyDescent="0.25">
      <c r="A111" s="1">
        <v>22</v>
      </c>
      <c r="B111" s="1" t="s">
        <v>673</v>
      </c>
      <c r="C111" s="1">
        <v>2</v>
      </c>
      <c r="D111" s="1" t="s">
        <v>675</v>
      </c>
      <c r="E111" s="1" t="s">
        <v>794</v>
      </c>
      <c r="F111" s="1" t="s">
        <v>679</v>
      </c>
      <c r="G111" s="1" t="str">
        <f t="shared" si="1"/>
        <v>SOC AGRICOLA EL CARMEN DE PUCALAN LIMITADA</v>
      </c>
      <c r="H111" s="1">
        <f>COUNTIFS(RELACIONADAS!$C:$C,CLIENTES!$F111,RELACIONADAS!$G:$G,"SI")</f>
        <v>1</v>
      </c>
      <c r="I111" s="1">
        <f>COUNTIFS(RELACIONADAS!$C:$C,CLIENTES!$F111,RELACIONADAS!$H:$H,"SI")</f>
        <v>2</v>
      </c>
      <c r="J111" s="1" t="s">
        <v>23</v>
      </c>
      <c r="K111" s="1" t="s">
        <v>712</v>
      </c>
      <c r="L111" s="1" t="s">
        <v>823</v>
      </c>
      <c r="M111" s="1" t="s">
        <v>34</v>
      </c>
      <c r="N111" s="1" t="s">
        <v>31</v>
      </c>
      <c r="O111" s="1" t="s">
        <v>812</v>
      </c>
      <c r="P111" s="9" t="s">
        <v>38</v>
      </c>
      <c r="Q111" s="9" t="s">
        <v>38</v>
      </c>
      <c r="R111" s="9" t="s">
        <v>39</v>
      </c>
      <c r="S111" s="1" t="s">
        <v>829</v>
      </c>
      <c r="T111" s="1" t="s">
        <v>830</v>
      </c>
      <c r="U111" s="12">
        <v>45869</v>
      </c>
    </row>
    <row r="112" spans="1:21" x14ac:dyDescent="0.25">
      <c r="A112" s="1">
        <v>22</v>
      </c>
      <c r="B112" s="1" t="s">
        <v>673</v>
      </c>
      <c r="C112" s="1">
        <v>3</v>
      </c>
      <c r="D112" s="1" t="s">
        <v>676</v>
      </c>
      <c r="E112" s="1" t="s">
        <v>795</v>
      </c>
      <c r="F112" s="1" t="s">
        <v>680</v>
      </c>
      <c r="G112" s="1" t="str">
        <f t="shared" si="1"/>
        <v>AGRICOLA LOMAS DE MAITENES LIMITADA</v>
      </c>
      <c r="H112" s="1">
        <f>COUNTIFS(RELACIONADAS!$C:$C,CLIENTES!$F112,RELACIONADAS!$G:$G,"SI")</f>
        <v>4</v>
      </c>
      <c r="I112" s="1">
        <f>COUNTIFS(RELACIONADAS!$C:$C,CLIENTES!$F112,RELACIONADAS!$H:$H,"SI")</f>
        <v>3</v>
      </c>
      <c r="J112" s="1" t="s">
        <v>23</v>
      </c>
      <c r="K112" s="1" t="s">
        <v>712</v>
      </c>
      <c r="L112" s="1" t="s">
        <v>823</v>
      </c>
      <c r="M112" s="1" t="s">
        <v>34</v>
      </c>
      <c r="N112" s="1" t="s">
        <v>31</v>
      </c>
      <c r="O112" s="1" t="s">
        <v>812</v>
      </c>
      <c r="P112" s="9" t="s">
        <v>38</v>
      </c>
      <c r="Q112" s="9" t="s">
        <v>38</v>
      </c>
      <c r="R112" s="9" t="s">
        <v>39</v>
      </c>
      <c r="S112" s="1" t="s">
        <v>829</v>
      </c>
      <c r="T112" s="1" t="s">
        <v>830</v>
      </c>
      <c r="U112" s="12">
        <v>45869</v>
      </c>
    </row>
    <row r="113" spans="1:21" x14ac:dyDescent="0.25">
      <c r="A113" s="1">
        <v>22</v>
      </c>
      <c r="B113" s="1" t="s">
        <v>673</v>
      </c>
      <c r="C113" s="1">
        <v>4</v>
      </c>
      <c r="D113" s="1" t="s">
        <v>677</v>
      </c>
      <c r="E113" s="1" t="s">
        <v>798</v>
      </c>
      <c r="F113" s="1" t="s">
        <v>681</v>
      </c>
      <c r="G113" s="1" t="str">
        <f t="shared" si="1"/>
        <v>ADMINISTRADORA DON FERNANDO LIMITADA</v>
      </c>
      <c r="H113" s="1">
        <f>COUNTIFS(RELACIONADAS!$C:$C,CLIENTES!$F113,RELACIONADAS!$G:$G,"SI")</f>
        <v>1</v>
      </c>
      <c r="I113" s="1">
        <f>COUNTIFS(RELACIONADAS!$C:$C,CLIENTES!$F113,RELACIONADAS!$H:$H,"SI")</f>
        <v>2</v>
      </c>
      <c r="J113" s="1" t="s">
        <v>23</v>
      </c>
      <c r="K113" s="1" t="s">
        <v>712</v>
      </c>
      <c r="L113" s="1" t="s">
        <v>823</v>
      </c>
      <c r="M113" s="1" t="s">
        <v>34</v>
      </c>
      <c r="N113" s="1" t="s">
        <v>31</v>
      </c>
      <c r="O113" s="1" t="s">
        <v>812</v>
      </c>
      <c r="P113" s="9" t="s">
        <v>38</v>
      </c>
      <c r="Q113" s="9" t="s">
        <v>38</v>
      </c>
      <c r="R113" s="9" t="s">
        <v>39</v>
      </c>
      <c r="S113" s="1" t="s">
        <v>829</v>
      </c>
      <c r="T113" s="1" t="s">
        <v>830</v>
      </c>
      <c r="U113" s="12">
        <v>45869</v>
      </c>
    </row>
    <row r="114" spans="1:21" x14ac:dyDescent="0.25">
      <c r="A114" s="1">
        <v>23</v>
      </c>
      <c r="B114" s="1" t="s">
        <v>682</v>
      </c>
      <c r="C114" s="1">
        <v>1</v>
      </c>
      <c r="D114" s="1" t="s">
        <v>739</v>
      </c>
      <c r="E114" s="1" t="s">
        <v>799</v>
      </c>
      <c r="F114" s="1" t="s">
        <v>693</v>
      </c>
      <c r="G114" s="1" t="str">
        <f t="shared" si="1"/>
        <v>SOC DE DESARROLLO TECNOLÓGICO DE LA USACH LTDA</v>
      </c>
      <c r="H114" s="1">
        <f>COUNTIFS(RELACIONADAS!$C:$C,CLIENTES!$F114,RELACIONADAS!$G:$G,"SI")</f>
        <v>1</v>
      </c>
      <c r="I114" s="1">
        <f>COUNTIFS(RELACIONADAS!$C:$C,CLIENTES!$F114,RELACIONADAS!$H:$H,"SI")</f>
        <v>2</v>
      </c>
      <c r="J114" s="1" t="s">
        <v>23</v>
      </c>
      <c r="K114" s="1" t="s">
        <v>712</v>
      </c>
      <c r="L114" s="1" t="s">
        <v>823</v>
      </c>
      <c r="M114" s="1" t="s">
        <v>34</v>
      </c>
      <c r="N114" s="1" t="s">
        <v>31</v>
      </c>
      <c r="O114" s="1" t="s">
        <v>812</v>
      </c>
      <c r="P114" s="9" t="s">
        <v>38</v>
      </c>
      <c r="Q114" s="9" t="s">
        <v>38</v>
      </c>
      <c r="R114" s="9" t="s">
        <v>39</v>
      </c>
      <c r="S114" s="1" t="s">
        <v>829</v>
      </c>
      <c r="T114" s="1" t="s">
        <v>830</v>
      </c>
      <c r="U114" s="12">
        <v>45869</v>
      </c>
    </row>
    <row r="115" spans="1:21" x14ac:dyDescent="0.25">
      <c r="A115" s="1">
        <v>23</v>
      </c>
      <c r="B115" s="1" t="s">
        <v>682</v>
      </c>
      <c r="C115" s="1">
        <v>2</v>
      </c>
      <c r="D115" s="1" t="s">
        <v>740</v>
      </c>
      <c r="E115" s="1" t="s">
        <v>796</v>
      </c>
      <c r="F115" s="1" t="s">
        <v>694</v>
      </c>
      <c r="G115" s="1" t="str">
        <f t="shared" si="1"/>
        <v>CAPACITACIÓN USACH CIA LTDA</v>
      </c>
      <c r="H115" s="1">
        <f>COUNTIFS(RELACIONADAS!$C:$C,CLIENTES!$F115,RELACIONADAS!$G:$G,"SI")</f>
        <v>1</v>
      </c>
      <c r="I115" s="1">
        <f>COUNTIFS(RELACIONADAS!$C:$C,CLIENTES!$F115,RELACIONADAS!$H:$H,"SI")</f>
        <v>2</v>
      </c>
      <c r="J115" s="1" t="s">
        <v>23</v>
      </c>
      <c r="K115" s="1" t="s">
        <v>712</v>
      </c>
      <c r="L115" s="1" t="s">
        <v>823</v>
      </c>
      <c r="M115" s="1" t="s">
        <v>34</v>
      </c>
      <c r="N115" s="1" t="s">
        <v>31</v>
      </c>
      <c r="O115" s="1" t="s">
        <v>812</v>
      </c>
      <c r="P115" s="9" t="s">
        <v>38</v>
      </c>
      <c r="Q115" s="9" t="s">
        <v>38</v>
      </c>
      <c r="R115" s="9" t="s">
        <v>39</v>
      </c>
      <c r="S115" s="1" t="s">
        <v>829</v>
      </c>
      <c r="T115" s="1" t="s">
        <v>830</v>
      </c>
      <c r="U115" s="12">
        <v>45869</v>
      </c>
    </row>
    <row r="116" spans="1:21" x14ac:dyDescent="0.25">
      <c r="A116" s="1">
        <v>23</v>
      </c>
      <c r="B116" s="1" t="s">
        <v>682</v>
      </c>
      <c r="C116" s="1">
        <v>3</v>
      </c>
      <c r="D116" s="1" t="s">
        <v>741</v>
      </c>
      <c r="E116" s="1" t="s">
        <v>800</v>
      </c>
      <c r="F116" s="1" t="s">
        <v>695</v>
      </c>
      <c r="G116" s="1" t="str">
        <f t="shared" si="1"/>
        <v>FUNDACIÓN PARA EL DESARROLLO DEL EMPRENDIMIENTO</v>
      </c>
      <c r="H116" s="1">
        <f>COUNTIFS(RELACIONADAS!$C:$C,CLIENTES!$F116,RELACIONADAS!$G:$G,"SI")</f>
        <v>1</v>
      </c>
      <c r="I116" s="1">
        <f>COUNTIFS(RELACIONADAS!$C:$C,CLIENTES!$F116,RELACIONADAS!$H:$H,"SI")</f>
        <v>1</v>
      </c>
      <c r="J116" s="1" t="s">
        <v>23</v>
      </c>
      <c r="K116" s="1" t="s">
        <v>712</v>
      </c>
      <c r="L116" s="1" t="s">
        <v>823</v>
      </c>
      <c r="M116" s="1" t="s">
        <v>34</v>
      </c>
      <c r="N116" s="1" t="s">
        <v>31</v>
      </c>
      <c r="O116" s="1" t="s">
        <v>812</v>
      </c>
      <c r="P116" s="9" t="s">
        <v>38</v>
      </c>
      <c r="Q116" s="9" t="s">
        <v>38</v>
      </c>
      <c r="R116" s="9" t="s">
        <v>39</v>
      </c>
      <c r="S116" s="1" t="s">
        <v>829</v>
      </c>
      <c r="T116" s="1" t="s">
        <v>830</v>
      </c>
      <c r="U116" s="12">
        <v>45869</v>
      </c>
    </row>
    <row r="117" spans="1:21" x14ac:dyDescent="0.25">
      <c r="A117" s="1">
        <v>23</v>
      </c>
      <c r="B117" s="1" t="s">
        <v>682</v>
      </c>
      <c r="C117" s="1">
        <v>4</v>
      </c>
      <c r="D117" s="1" t="s">
        <v>742</v>
      </c>
      <c r="E117" s="1" t="s">
        <v>801</v>
      </c>
      <c r="F117" s="1" t="s">
        <v>696</v>
      </c>
      <c r="G117" s="1" t="str">
        <f t="shared" si="1"/>
        <v>AG CERTIFICADORA DE COMPETENCIAS DE LA USACH LTDA</v>
      </c>
      <c r="H117" s="1">
        <f>COUNTIFS(RELACIONADAS!$C:$C,CLIENTES!$F117,RELACIONADAS!$G:$G,"SI")</f>
        <v>1</v>
      </c>
      <c r="I117" s="1">
        <f>COUNTIFS(RELACIONADAS!$C:$C,CLIENTES!$F117,RELACIONADAS!$H:$H,"SI")</f>
        <v>2</v>
      </c>
      <c r="J117" s="1" t="s">
        <v>23</v>
      </c>
      <c r="K117" s="1" t="s">
        <v>712</v>
      </c>
      <c r="L117" s="1" t="s">
        <v>823</v>
      </c>
      <c r="M117" s="1" t="s">
        <v>34</v>
      </c>
      <c r="N117" s="1" t="s">
        <v>31</v>
      </c>
      <c r="O117" s="1" t="s">
        <v>812</v>
      </c>
      <c r="P117" s="9" t="s">
        <v>38</v>
      </c>
      <c r="Q117" s="9" t="s">
        <v>38</v>
      </c>
      <c r="R117" s="9" t="s">
        <v>39</v>
      </c>
      <c r="S117" s="1" t="s">
        <v>829</v>
      </c>
      <c r="T117" s="1" t="s">
        <v>830</v>
      </c>
      <c r="U117" s="12">
        <v>45869</v>
      </c>
    </row>
    <row r="118" spans="1:21" x14ac:dyDescent="0.25">
      <c r="A118" s="1">
        <v>23</v>
      </c>
      <c r="B118" s="1" t="s">
        <v>682</v>
      </c>
      <c r="C118" s="1">
        <v>5</v>
      </c>
      <c r="D118" s="1" t="s">
        <v>743</v>
      </c>
      <c r="E118" s="1" t="s">
        <v>780</v>
      </c>
      <c r="F118" s="1" t="s">
        <v>697</v>
      </c>
      <c r="G118" s="1" t="str">
        <f t="shared" si="1"/>
        <v>FUNDACIÓN UNIVERSITARIA ESCUELA DE OFICIOS USACH</v>
      </c>
      <c r="H118" s="1">
        <f>COUNTIFS(RELACIONADAS!$C:$C,CLIENTES!$F118,RELACIONADAS!$G:$G,"SI")</f>
        <v>1</v>
      </c>
      <c r="I118" s="1">
        <f>COUNTIFS(RELACIONADAS!$C:$C,CLIENTES!$F118,RELACIONADAS!$H:$H,"SI")</f>
        <v>0</v>
      </c>
      <c r="J118" s="1" t="s">
        <v>23</v>
      </c>
      <c r="K118" s="1" t="s">
        <v>712</v>
      </c>
      <c r="L118" s="1" t="s">
        <v>823</v>
      </c>
      <c r="M118" s="1" t="s">
        <v>34</v>
      </c>
      <c r="N118" s="1" t="s">
        <v>31</v>
      </c>
      <c r="O118" s="1" t="s">
        <v>812</v>
      </c>
      <c r="P118" s="9" t="s">
        <v>38</v>
      </c>
      <c r="Q118" s="9" t="s">
        <v>38</v>
      </c>
      <c r="R118" s="9" t="s">
        <v>39</v>
      </c>
      <c r="S118" s="1" t="s">
        <v>829</v>
      </c>
      <c r="T118" s="1" t="s">
        <v>830</v>
      </c>
      <c r="U118" s="12">
        <v>45869</v>
      </c>
    </row>
    <row r="119" spans="1:21" x14ac:dyDescent="0.25">
      <c r="A119" s="1">
        <v>24</v>
      </c>
      <c r="B119" s="1" t="s">
        <v>683</v>
      </c>
      <c r="C119" s="1">
        <v>1</v>
      </c>
      <c r="D119" s="1" t="s">
        <v>685</v>
      </c>
      <c r="E119" s="1" t="s">
        <v>802</v>
      </c>
      <c r="F119" s="1" t="s">
        <v>698</v>
      </c>
      <c r="G119" s="1" t="str">
        <f t="shared" si="1"/>
        <v>INVERSIONES VALLE ORIENTE LIMITADA</v>
      </c>
      <c r="H119" s="1">
        <f>COUNTIFS(RELACIONADAS!$C:$C,CLIENTES!$F119,RELACIONADAS!$G:$G,"SI")</f>
        <v>3</v>
      </c>
      <c r="I119" s="1">
        <f>COUNTIFS(RELACIONADAS!$C:$C,CLIENTES!$F119,RELACIONADAS!$H:$H,"SI")</f>
        <v>2</v>
      </c>
      <c r="J119" s="1" t="s">
        <v>23</v>
      </c>
      <c r="K119" s="1" t="s">
        <v>712</v>
      </c>
      <c r="L119" s="1" t="s">
        <v>823</v>
      </c>
      <c r="M119" s="1" t="s">
        <v>34</v>
      </c>
      <c r="N119" s="1" t="s">
        <v>31</v>
      </c>
      <c r="O119" s="1" t="s">
        <v>812</v>
      </c>
      <c r="P119" s="9" t="s">
        <v>38</v>
      </c>
      <c r="Q119" s="9" t="s">
        <v>38</v>
      </c>
      <c r="R119" s="9" t="s">
        <v>39</v>
      </c>
      <c r="S119" s="1" t="s">
        <v>829</v>
      </c>
      <c r="T119" s="1" t="s">
        <v>830</v>
      </c>
      <c r="U119" s="12">
        <v>45869</v>
      </c>
    </row>
    <row r="120" spans="1:21" x14ac:dyDescent="0.25">
      <c r="A120" s="1">
        <v>24</v>
      </c>
      <c r="B120" s="1" t="s">
        <v>683</v>
      </c>
      <c r="C120" s="1">
        <v>2</v>
      </c>
      <c r="D120" s="1" t="s">
        <v>816</v>
      </c>
      <c r="E120" s="1" t="s">
        <v>786</v>
      </c>
      <c r="F120" s="1" t="s">
        <v>699</v>
      </c>
      <c r="G120" s="1" t="str">
        <f t="shared" si="1"/>
        <v>INVERSIONES ICABARU SA</v>
      </c>
      <c r="H120" s="1">
        <f>COUNTIFS(RELACIONADAS!$C:$C,CLIENTES!$F120,RELACIONADAS!$G:$G,"SI")</f>
        <v>1</v>
      </c>
      <c r="I120" s="1">
        <f>COUNTIFS(RELACIONADAS!$C:$C,CLIENTES!$F120,RELACIONADAS!$H:$H,"SI")</f>
        <v>4</v>
      </c>
      <c r="J120" s="1" t="s">
        <v>23</v>
      </c>
      <c r="K120" s="1" t="s">
        <v>712</v>
      </c>
      <c r="L120" s="1" t="s">
        <v>823</v>
      </c>
      <c r="M120" s="1" t="s">
        <v>34</v>
      </c>
      <c r="N120" s="1" t="s">
        <v>31</v>
      </c>
      <c r="O120" s="1" t="s">
        <v>812</v>
      </c>
      <c r="P120" s="9" t="s">
        <v>38</v>
      </c>
      <c r="Q120" s="9" t="s">
        <v>38</v>
      </c>
      <c r="R120" s="9" t="s">
        <v>39</v>
      </c>
      <c r="S120" s="1" t="s">
        <v>829</v>
      </c>
      <c r="T120" s="1" t="s">
        <v>830</v>
      </c>
      <c r="U120" s="12">
        <v>45869</v>
      </c>
    </row>
    <row r="121" spans="1:21" x14ac:dyDescent="0.25">
      <c r="A121" s="1">
        <v>24</v>
      </c>
      <c r="B121" s="1" t="s">
        <v>683</v>
      </c>
      <c r="C121" s="1">
        <v>3</v>
      </c>
      <c r="D121" s="1" t="s">
        <v>817</v>
      </c>
      <c r="E121" s="1" t="s">
        <v>686</v>
      </c>
      <c r="F121" s="1" t="s">
        <v>700</v>
      </c>
      <c r="G121" s="1" t="str">
        <f t="shared" si="1"/>
        <v>ASESORIAS E INVERSIONES MANCORA LIMITADA</v>
      </c>
      <c r="H121" s="1">
        <f>COUNTIFS(RELACIONADAS!$C:$C,CLIENTES!$F121,RELACIONADAS!$G:$G,"SI")</f>
        <v>1</v>
      </c>
      <c r="I121" s="1">
        <f>COUNTIFS(RELACIONADAS!$C:$C,CLIENTES!$F121,RELACIONADAS!$H:$H,"SI")</f>
        <v>7</v>
      </c>
      <c r="J121" s="1" t="s">
        <v>23</v>
      </c>
      <c r="K121" s="1" t="s">
        <v>712</v>
      </c>
      <c r="L121" s="1" t="s">
        <v>823</v>
      </c>
      <c r="M121" s="1" t="s">
        <v>34</v>
      </c>
      <c r="N121" s="1" t="s">
        <v>31</v>
      </c>
      <c r="O121" s="1" t="s">
        <v>812</v>
      </c>
      <c r="P121" s="9" t="s">
        <v>38</v>
      </c>
      <c r="Q121" s="9" t="s">
        <v>38</v>
      </c>
      <c r="R121" s="9" t="s">
        <v>39</v>
      </c>
      <c r="S121" s="1" t="s">
        <v>829</v>
      </c>
      <c r="T121" s="1" t="s">
        <v>830</v>
      </c>
      <c r="U121" s="12">
        <v>45869</v>
      </c>
    </row>
    <row r="122" spans="1:21" x14ac:dyDescent="0.25">
      <c r="A122" s="1">
        <v>24</v>
      </c>
      <c r="B122" s="1" t="s">
        <v>683</v>
      </c>
      <c r="C122" s="1">
        <v>4</v>
      </c>
      <c r="D122" s="1" t="s">
        <v>818</v>
      </c>
      <c r="E122" s="1" t="s">
        <v>687</v>
      </c>
      <c r="F122" s="1" t="s">
        <v>701</v>
      </c>
      <c r="G122" s="1" t="str">
        <f t="shared" si="1"/>
        <v>ASESORIAS E INVERSIONES EL ANGELUS LIMITADA</v>
      </c>
      <c r="H122" s="1">
        <f>COUNTIFS(RELACIONADAS!$C:$C,CLIENTES!$F122,RELACIONADAS!$G:$G,"SI")</f>
        <v>2</v>
      </c>
      <c r="I122" s="1">
        <f>COUNTIFS(RELACIONADAS!$C:$C,CLIENTES!$F122,RELACIONADAS!$H:$H,"SI")</f>
        <v>6</v>
      </c>
      <c r="J122" s="1" t="s">
        <v>23</v>
      </c>
      <c r="K122" s="1" t="s">
        <v>712</v>
      </c>
      <c r="L122" s="1" t="s">
        <v>823</v>
      </c>
      <c r="M122" s="1" t="s">
        <v>34</v>
      </c>
      <c r="N122" s="1" t="s">
        <v>31</v>
      </c>
      <c r="O122" s="1" t="s">
        <v>812</v>
      </c>
      <c r="P122" s="9" t="s">
        <v>38</v>
      </c>
      <c r="Q122" s="9" t="s">
        <v>38</v>
      </c>
      <c r="R122" s="9" t="s">
        <v>39</v>
      </c>
      <c r="S122" s="1" t="s">
        <v>829</v>
      </c>
      <c r="T122" s="1" t="s">
        <v>830</v>
      </c>
      <c r="U122" s="12">
        <v>45869</v>
      </c>
    </row>
    <row r="123" spans="1:21" x14ac:dyDescent="0.25">
      <c r="A123" s="1">
        <v>24</v>
      </c>
      <c r="B123" s="1" t="s">
        <v>683</v>
      </c>
      <c r="C123" s="1">
        <v>5</v>
      </c>
      <c r="D123" s="1" t="s">
        <v>688</v>
      </c>
      <c r="E123" s="1" t="s">
        <v>804</v>
      </c>
      <c r="F123" s="1" t="s">
        <v>702</v>
      </c>
      <c r="G123" s="1" t="str">
        <f t="shared" si="1"/>
        <v>BHV CAPITAL SERVICIOS FINANCIEROS SPA</v>
      </c>
      <c r="H123" s="1">
        <f>COUNTIFS(RELACIONADAS!$C:$C,CLIENTES!$F123,RELACIONADAS!$G:$G,"SI")</f>
        <v>1</v>
      </c>
      <c r="I123" s="1">
        <f>COUNTIFS(RELACIONADAS!$C:$C,CLIENTES!$F123,RELACIONADAS!$H:$H,"SI")</f>
        <v>9</v>
      </c>
      <c r="J123" s="1" t="s">
        <v>23</v>
      </c>
      <c r="K123" s="1" t="s">
        <v>712</v>
      </c>
      <c r="L123" s="1" t="s">
        <v>823</v>
      </c>
      <c r="M123" s="1" t="s">
        <v>34</v>
      </c>
      <c r="N123" s="1" t="s">
        <v>31</v>
      </c>
      <c r="O123" s="1" t="s">
        <v>812</v>
      </c>
      <c r="P123" s="9" t="s">
        <v>38</v>
      </c>
      <c r="Q123" s="9" t="s">
        <v>38</v>
      </c>
      <c r="R123" s="9" t="s">
        <v>39</v>
      </c>
      <c r="S123" s="1" t="s">
        <v>829</v>
      </c>
      <c r="T123" s="1" t="s">
        <v>830</v>
      </c>
      <c r="U123" s="12">
        <v>45869</v>
      </c>
    </row>
    <row r="124" spans="1:21" x14ac:dyDescent="0.25">
      <c r="A124" s="1">
        <v>24</v>
      </c>
      <c r="B124" s="1" t="s">
        <v>683</v>
      </c>
      <c r="C124" s="1">
        <v>6</v>
      </c>
      <c r="D124" s="1" t="s">
        <v>813</v>
      </c>
      <c r="E124" s="1" t="s">
        <v>689</v>
      </c>
      <c r="F124" s="1" t="s">
        <v>703</v>
      </c>
      <c r="G124" s="1" t="str">
        <f t="shared" si="1"/>
        <v>AZIMUT INVERSIONES LIMITADA</v>
      </c>
      <c r="H124" s="1">
        <f>COUNTIFS(RELACIONADAS!$C:$C,CLIENTES!$F124,RELACIONADAS!$G:$G,"SI")</f>
        <v>1</v>
      </c>
      <c r="I124" s="1">
        <f>COUNTIFS(RELACIONADAS!$C:$C,CLIENTES!$F124,RELACIONADAS!$H:$H,"SI")</f>
        <v>3</v>
      </c>
      <c r="J124" s="1" t="s">
        <v>23</v>
      </c>
      <c r="K124" s="1" t="s">
        <v>712</v>
      </c>
      <c r="L124" s="1" t="s">
        <v>823</v>
      </c>
      <c r="M124" s="1" t="s">
        <v>34</v>
      </c>
      <c r="N124" s="1" t="s">
        <v>31</v>
      </c>
      <c r="O124" s="1" t="s">
        <v>812</v>
      </c>
      <c r="P124" s="9" t="s">
        <v>38</v>
      </c>
      <c r="Q124" s="9" t="s">
        <v>38</v>
      </c>
      <c r="R124" s="9" t="s">
        <v>39</v>
      </c>
      <c r="S124" s="1" t="s">
        <v>829</v>
      </c>
      <c r="T124" s="1" t="s">
        <v>830</v>
      </c>
      <c r="U124" s="12">
        <v>45869</v>
      </c>
    </row>
    <row r="125" spans="1:21" x14ac:dyDescent="0.25">
      <c r="A125" s="1">
        <v>24</v>
      </c>
      <c r="B125" s="1" t="s">
        <v>683</v>
      </c>
      <c r="C125" s="1">
        <v>7</v>
      </c>
      <c r="D125" s="1" t="s">
        <v>819</v>
      </c>
      <c r="E125" s="1" t="s">
        <v>745</v>
      </c>
      <c r="F125" s="1" t="s">
        <v>704</v>
      </c>
      <c r="G125" s="1" t="str">
        <f t="shared" si="1"/>
        <v>BLANCO FINANCIERO SPA</v>
      </c>
      <c r="H125" s="1">
        <f>COUNTIFS(RELACIONADAS!$C:$C,CLIENTES!$F125,RELACIONADAS!$G:$G,"SI")</f>
        <v>2</v>
      </c>
      <c r="I125" s="1">
        <f>COUNTIFS(RELACIONADAS!$C:$C,CLIENTES!$F125,RELACIONADAS!$H:$H,"SI")</f>
        <v>2</v>
      </c>
      <c r="J125" s="1" t="s">
        <v>23</v>
      </c>
      <c r="K125" s="1" t="s">
        <v>712</v>
      </c>
      <c r="L125" s="1" t="s">
        <v>823</v>
      </c>
      <c r="M125" s="1" t="s">
        <v>34</v>
      </c>
      <c r="N125" s="1" t="s">
        <v>31</v>
      </c>
      <c r="O125" s="1" t="s">
        <v>812</v>
      </c>
      <c r="P125" s="9" t="s">
        <v>38</v>
      </c>
      <c r="Q125" s="9" t="s">
        <v>38</v>
      </c>
      <c r="R125" s="9" t="s">
        <v>39</v>
      </c>
      <c r="S125" s="1" t="s">
        <v>829</v>
      </c>
      <c r="T125" s="1" t="s">
        <v>830</v>
      </c>
      <c r="U125" s="12">
        <v>45869</v>
      </c>
    </row>
    <row r="126" spans="1:21" x14ac:dyDescent="0.25">
      <c r="A126" s="1">
        <v>24</v>
      </c>
      <c r="B126" s="1" t="s">
        <v>683</v>
      </c>
      <c r="C126" s="1">
        <v>8</v>
      </c>
      <c r="D126" s="1" t="s">
        <v>814</v>
      </c>
      <c r="E126" s="1" t="s">
        <v>690</v>
      </c>
      <c r="F126" s="1" t="s">
        <v>705</v>
      </c>
      <c r="G126" s="1" t="str">
        <f t="shared" si="1"/>
        <v>SOC INMOBILIARIA DONA ANSELMA LTD</v>
      </c>
      <c r="H126" s="1">
        <f>COUNTIFS(RELACIONADAS!$C:$C,CLIENTES!$F126,RELACIONADAS!$G:$G,"SI")</f>
        <v>2</v>
      </c>
      <c r="I126" s="1">
        <f>COUNTIFS(RELACIONADAS!$C:$C,CLIENTES!$F126,RELACIONADAS!$H:$H,"SI")</f>
        <v>4</v>
      </c>
      <c r="J126" s="1" t="s">
        <v>23</v>
      </c>
      <c r="K126" s="1" t="s">
        <v>712</v>
      </c>
      <c r="L126" s="1" t="s">
        <v>823</v>
      </c>
      <c r="M126" s="1" t="s">
        <v>34</v>
      </c>
      <c r="N126" s="1" t="s">
        <v>31</v>
      </c>
      <c r="O126" s="1" t="s">
        <v>812</v>
      </c>
      <c r="P126" s="9" t="s">
        <v>38</v>
      </c>
      <c r="Q126" s="9" t="s">
        <v>38</v>
      </c>
      <c r="R126" s="9" t="s">
        <v>39</v>
      </c>
      <c r="S126" s="1" t="s">
        <v>829</v>
      </c>
      <c r="T126" s="1" t="s">
        <v>830</v>
      </c>
      <c r="U126" s="12">
        <v>45869</v>
      </c>
    </row>
    <row r="127" spans="1:21" x14ac:dyDescent="0.25">
      <c r="A127" s="1">
        <v>24</v>
      </c>
      <c r="B127" s="1" t="s">
        <v>683</v>
      </c>
      <c r="C127" s="1">
        <v>9</v>
      </c>
      <c r="D127" s="1" t="s">
        <v>746</v>
      </c>
      <c r="E127" s="1" t="s">
        <v>791</v>
      </c>
      <c r="F127" s="1" t="s">
        <v>706</v>
      </c>
      <c r="G127" s="1" t="str">
        <f t="shared" si="1"/>
        <v>PLUSMEDICAL SPA</v>
      </c>
      <c r="H127" s="1">
        <f>COUNTIFS(RELACIONADAS!$C:$C,CLIENTES!$F127,RELACIONADAS!$G:$G,"SI")</f>
        <v>2</v>
      </c>
      <c r="I127" s="1">
        <f>COUNTIFS(RELACIONADAS!$C:$C,CLIENTES!$F127,RELACIONADAS!$H:$H,"SI")</f>
        <v>5</v>
      </c>
      <c r="J127" s="1" t="s">
        <v>23</v>
      </c>
      <c r="K127" s="1" t="s">
        <v>712</v>
      </c>
      <c r="L127" s="1" t="s">
        <v>823</v>
      </c>
      <c r="M127" s="1" t="s">
        <v>34</v>
      </c>
      <c r="N127" s="1" t="s">
        <v>31</v>
      </c>
      <c r="O127" s="1" t="s">
        <v>812</v>
      </c>
      <c r="P127" s="9" t="s">
        <v>38</v>
      </c>
      <c r="Q127" s="9" t="s">
        <v>38</v>
      </c>
      <c r="R127" s="9" t="s">
        <v>39</v>
      </c>
      <c r="S127" s="1" t="s">
        <v>829</v>
      </c>
      <c r="T127" s="1" t="s">
        <v>830</v>
      </c>
      <c r="U127" s="12">
        <v>45869</v>
      </c>
    </row>
    <row r="128" spans="1:21" x14ac:dyDescent="0.25">
      <c r="A128" s="1">
        <v>25</v>
      </c>
      <c r="B128" s="1" t="s">
        <v>684</v>
      </c>
      <c r="C128" s="1">
        <v>1</v>
      </c>
      <c r="D128" s="1" t="s">
        <v>691</v>
      </c>
      <c r="E128" s="1" t="s">
        <v>805</v>
      </c>
      <c r="F128" s="1" t="s">
        <v>707</v>
      </c>
      <c r="G128" s="1" t="str">
        <f t="shared" si="1"/>
        <v>SOCIEDAD INVERSIONES AGROLIQUID LIMITADA</v>
      </c>
      <c r="H128" s="1">
        <f>COUNTIFS(RELACIONADAS!$C:$C,CLIENTES!$F128,RELACIONADAS!$G:$G,"SI")</f>
        <v>3</v>
      </c>
      <c r="I128" s="1">
        <f>COUNTIFS(RELACIONADAS!$C:$C,CLIENTES!$F128,RELACIONADAS!$H:$H,"SI")</f>
        <v>2</v>
      </c>
      <c r="J128" s="1" t="s">
        <v>23</v>
      </c>
      <c r="K128" s="1" t="s">
        <v>712</v>
      </c>
      <c r="L128" s="1" t="s">
        <v>823</v>
      </c>
      <c r="M128" s="1" t="s">
        <v>34</v>
      </c>
      <c r="N128" s="1" t="s">
        <v>31</v>
      </c>
      <c r="O128" s="1" t="s">
        <v>812</v>
      </c>
      <c r="P128" s="9" t="s">
        <v>38</v>
      </c>
      <c r="Q128" s="9" t="s">
        <v>38</v>
      </c>
      <c r="R128" s="9" t="s">
        <v>39</v>
      </c>
      <c r="S128" s="1" t="s">
        <v>829</v>
      </c>
      <c r="T128" s="1" t="s">
        <v>830</v>
      </c>
      <c r="U128" s="12">
        <v>45869</v>
      </c>
    </row>
    <row r="129" spans="1:21" x14ac:dyDescent="0.25">
      <c r="A129" s="1">
        <v>25</v>
      </c>
      <c r="B129" s="1" t="s">
        <v>684</v>
      </c>
      <c r="C129" s="1">
        <v>2</v>
      </c>
      <c r="D129" s="1" t="s">
        <v>792</v>
      </c>
      <c r="E129" s="1" t="s">
        <v>811</v>
      </c>
      <c r="F129" s="1" t="s">
        <v>708</v>
      </c>
      <c r="G129" s="1" t="str">
        <f t="shared" si="1"/>
        <v>AGRICOLA Y COMERCIAL DEL MAR SPA</v>
      </c>
      <c r="H129" s="1">
        <f>COUNTIFS(RELACIONADAS!$C:$C,CLIENTES!$F129,RELACIONADAS!$G:$G,"SI")</f>
        <v>3</v>
      </c>
      <c r="I129" s="1">
        <f>COUNTIFS(RELACIONADAS!$C:$C,CLIENTES!$F129,RELACIONADAS!$H:$H,"SI")</f>
        <v>1</v>
      </c>
      <c r="J129" s="1" t="s">
        <v>23</v>
      </c>
      <c r="K129" s="1" t="s">
        <v>712</v>
      </c>
      <c r="L129" s="1" t="s">
        <v>823</v>
      </c>
      <c r="M129" s="1" t="s">
        <v>34</v>
      </c>
      <c r="N129" s="1" t="s">
        <v>31</v>
      </c>
      <c r="O129" s="1" t="s">
        <v>812</v>
      </c>
      <c r="P129" s="9" t="s">
        <v>38</v>
      </c>
      <c r="Q129" s="9" t="s">
        <v>38</v>
      </c>
      <c r="R129" s="9" t="s">
        <v>39</v>
      </c>
      <c r="S129" s="1" t="s">
        <v>829</v>
      </c>
      <c r="T129" s="1" t="s">
        <v>830</v>
      </c>
      <c r="U129" s="12">
        <v>45869</v>
      </c>
    </row>
    <row r="130" spans="1:21" x14ac:dyDescent="0.25">
      <c r="A130" s="1">
        <v>25</v>
      </c>
      <c r="B130" s="1" t="s">
        <v>684</v>
      </c>
      <c r="C130" s="1">
        <v>3</v>
      </c>
      <c r="D130" s="1" t="s">
        <v>747</v>
      </c>
      <c r="E130" s="1" t="s">
        <v>793</v>
      </c>
      <c r="F130" s="1" t="s">
        <v>709</v>
      </c>
      <c r="G130" s="1" t="str">
        <f t="shared" si="1"/>
        <v>LOS BOLDOS SPA</v>
      </c>
      <c r="H130" s="1">
        <f>COUNTIFS(RELACIONADAS!$C:$C,CLIENTES!$F130,RELACIONADAS!$G:$G,"SI")</f>
        <v>3</v>
      </c>
      <c r="I130" s="1">
        <f>COUNTIFS(RELACIONADAS!$C:$C,CLIENTES!$F130,RELACIONADAS!$H:$H,"SI")</f>
        <v>1</v>
      </c>
      <c r="J130" s="1" t="s">
        <v>23</v>
      </c>
      <c r="K130" s="1" t="s">
        <v>712</v>
      </c>
      <c r="L130" s="1" t="s">
        <v>823</v>
      </c>
      <c r="M130" s="1" t="s">
        <v>34</v>
      </c>
      <c r="N130" s="1" t="s">
        <v>31</v>
      </c>
      <c r="O130" s="1" t="s">
        <v>812</v>
      </c>
      <c r="P130" s="9" t="s">
        <v>38</v>
      </c>
      <c r="Q130" s="9" t="s">
        <v>38</v>
      </c>
      <c r="R130" s="9" t="s">
        <v>39</v>
      </c>
      <c r="S130" s="1" t="s">
        <v>829</v>
      </c>
      <c r="T130" s="1" t="s">
        <v>830</v>
      </c>
      <c r="U130" s="12">
        <v>45869</v>
      </c>
    </row>
    <row r="131" spans="1:21" x14ac:dyDescent="0.25">
      <c r="A131" s="1">
        <v>25</v>
      </c>
      <c r="B131" s="1" t="s">
        <v>684</v>
      </c>
      <c r="C131" s="1">
        <v>4</v>
      </c>
      <c r="D131" s="1" t="s">
        <v>748</v>
      </c>
      <c r="E131" s="1" t="s">
        <v>797</v>
      </c>
      <c r="F131" s="1" t="s">
        <v>710</v>
      </c>
      <c r="G131" s="1" t="str">
        <f t="shared" ref="G131:G132" si="3">D131</f>
        <v>RENTAS COX INGENIEROS LTDA</v>
      </c>
      <c r="H131" s="1">
        <f>COUNTIFS(RELACIONADAS!$C:$C,CLIENTES!$F131,RELACIONADAS!$G:$G,"SI")</f>
        <v>1</v>
      </c>
      <c r="I131" s="1">
        <f>COUNTIFS(RELACIONADAS!$C:$C,CLIENTES!$F131,RELACIONADAS!$H:$H,"SI")</f>
        <v>10</v>
      </c>
      <c r="J131" s="1" t="s">
        <v>23</v>
      </c>
      <c r="K131" s="1" t="s">
        <v>712</v>
      </c>
      <c r="L131" s="1" t="s">
        <v>823</v>
      </c>
      <c r="M131" s="1" t="s">
        <v>34</v>
      </c>
      <c r="N131" s="1" t="s">
        <v>31</v>
      </c>
      <c r="O131" s="1" t="s">
        <v>812</v>
      </c>
      <c r="P131" s="9" t="s">
        <v>38</v>
      </c>
      <c r="Q131" s="9" t="s">
        <v>38</v>
      </c>
      <c r="R131" s="9" t="s">
        <v>39</v>
      </c>
      <c r="S131" s="1" t="s">
        <v>829</v>
      </c>
      <c r="T131" s="1" t="s">
        <v>830</v>
      </c>
      <c r="U131" s="12">
        <v>45869</v>
      </c>
    </row>
    <row r="132" spans="1:21" x14ac:dyDescent="0.25">
      <c r="A132" s="1">
        <v>25</v>
      </c>
      <c r="B132" s="1" t="s">
        <v>684</v>
      </c>
      <c r="C132" s="1">
        <v>5</v>
      </c>
      <c r="D132" s="1" t="s">
        <v>749</v>
      </c>
      <c r="E132" s="1" t="s">
        <v>803</v>
      </c>
      <c r="F132" s="1" t="s">
        <v>711</v>
      </c>
      <c r="G132" s="1" t="str">
        <f t="shared" si="3"/>
        <v>EMPRESA COX INGENIEROS SA</v>
      </c>
      <c r="H132" s="1">
        <f>COUNTIFS(RELACIONADAS!$C:$C,CLIENTES!$F132,RELACIONADAS!$G:$G,"SI")</f>
        <v>1</v>
      </c>
      <c r="I132" s="1">
        <f>COUNTIFS(RELACIONADAS!$C:$C,CLIENTES!$F132,RELACIONADAS!$H:$H,"SI")</f>
        <v>2</v>
      </c>
      <c r="J132" s="1" t="s">
        <v>23</v>
      </c>
      <c r="K132" s="1" t="s">
        <v>712</v>
      </c>
      <c r="L132" s="1" t="s">
        <v>823</v>
      </c>
      <c r="M132" s="1" t="s">
        <v>34</v>
      </c>
      <c r="N132" s="1" t="s">
        <v>31</v>
      </c>
      <c r="O132" s="1" t="s">
        <v>812</v>
      </c>
      <c r="P132" s="9" t="s">
        <v>38</v>
      </c>
      <c r="Q132" s="9" t="s">
        <v>38</v>
      </c>
      <c r="R132" s="9" t="s">
        <v>39</v>
      </c>
      <c r="S132" s="1" t="s">
        <v>829</v>
      </c>
      <c r="T132" s="1" t="s">
        <v>830</v>
      </c>
      <c r="U132" s="12">
        <v>45869</v>
      </c>
    </row>
  </sheetData>
  <hyperlinks>
    <hyperlink ref="R2" r:id="rId1" xr:uid="{17DE608E-9ECE-4345-B627-62E88B3C23D0}"/>
    <hyperlink ref="Q2" r:id="rId2" xr:uid="{ECA79C30-DE62-4C60-92FD-BD1F79A3636A}"/>
    <hyperlink ref="P14:P21" r:id="rId3" display="carlos.arag@araybustamante.cl" xr:uid="{E672FDFA-E140-437F-92A3-07F4B62DFEB1}"/>
    <hyperlink ref="P27:P47" r:id="rId4" display="carlos.arag@araybustamante.cl" xr:uid="{88F0EC85-B419-4D4E-B9DF-C5C9C97A39EE}"/>
    <hyperlink ref="P57:P60" r:id="rId5" display="carlos.arag@araybustamante.cl" xr:uid="{B564FA22-ACC3-4ADA-BD0C-34960CAC2F4E}"/>
    <hyperlink ref="P63" r:id="rId6" display="carlos.arag@araybustamante.cl" xr:uid="{D764D3AD-2570-4CC2-BF73-95301F5F6BE8}"/>
    <hyperlink ref="P2:P13" r:id="rId7" display="carlos.arag@araybustamante.cl" xr:uid="{5969982D-CB9F-4A5F-ADA7-F021B73342DD}"/>
    <hyperlink ref="P22:P26" r:id="rId8" display="carlos.arag@araybustamante.cl" xr:uid="{19815FDA-3B3B-4598-91D0-0B58F7073206}"/>
    <hyperlink ref="P48:P56" r:id="rId9" display="carlos.arag@araybustamante.cl" xr:uid="{5E05B080-254A-448D-ABE2-806AE8D3E619}"/>
    <hyperlink ref="P61:P62" r:id="rId10" display="carlos.arag@araybustamante.cl" xr:uid="{E49127B9-6906-48A4-B28C-9D8F16FFC55B}"/>
    <hyperlink ref="P64:P132" r:id="rId11" display="carlos.arag@araybustamante.cl" xr:uid="{4DBF237B-6014-418E-B397-AB5F1F497534}"/>
    <hyperlink ref="Q3:Q132" r:id="rId12" display="anamaria.acevedo@araybustamante.cl" xr:uid="{4EF84409-CEFC-46BA-BD24-CF162979E3CC}"/>
    <hyperlink ref="R3:R132" r:id="rId13" display="carlos.arag@araybustamante.cl" xr:uid="{A8337882-49C0-491F-B8F6-D0FC0464719C}"/>
  </hyperlinks>
  <pageMargins left="0.7" right="0.7" top="0.75" bottom="0.75" header="0.3" footer="0.3"/>
  <pageSetup paperSize="9" orientation="portrait" horizontalDpi="0" verticalDpi="0" r:id="rId14"/>
  <legacyDrawing r:id="rId1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FF82773-0EEE-42BB-8E77-C33AC6F0D80C}">
          <x14:formula1>
            <xm:f>MATRICES!$D$2:$D$3</xm:f>
          </x14:formula1>
          <xm:sqref>J2:J16</xm:sqref>
        </x14:dataValidation>
        <x14:dataValidation type="list" allowBlank="1" showInputMessage="1" showErrorMessage="1" xr:uid="{1DAFDFB2-A2BB-40C5-8860-CDC2252A19FF}">
          <x14:formula1>
            <xm:f>MATRICES!$D$12:$D$13</xm:f>
          </x14:formula1>
          <xm:sqref>O2:O21 O27:O47 O57:O60 O63</xm:sqref>
        </x14:dataValidation>
        <x14:dataValidation type="list" allowBlank="1" showInputMessage="1" showErrorMessage="1" xr:uid="{14EF6C07-1641-44B0-9D10-DCBF356EF991}">
          <x14:formula1>
            <xm:f>MATRICES!$D$5:$D$6</xm:f>
          </x14:formula1>
          <xm:sqref>K2:K67</xm:sqref>
        </x14:dataValidation>
        <x14:dataValidation type="list" allowBlank="1" showInputMessage="1" showErrorMessage="1" xr:uid="{8932C17B-2794-4CEA-AC60-451F23D616EC}">
          <x14:formula1>
            <xm:f>MATRICES!$D$8:$D$10</xm:f>
          </x14:formula1>
          <xm:sqref>N2:N132</xm:sqref>
        </x14:dataValidation>
        <x14:dataValidation type="list" allowBlank="1" showInputMessage="1" showErrorMessage="1" xr:uid="{DA1A0322-E8D3-4430-97F2-2F5C4143A2F5}">
          <x14:formula1>
            <xm:f>MATRICES!$D$15:$D$16</xm:f>
          </x14:formula1>
          <xm:sqref>S2:S132</xm:sqref>
        </x14:dataValidation>
        <x14:dataValidation type="list" allowBlank="1" showInputMessage="1" showErrorMessage="1" xr:uid="{43F81CD3-5286-4016-95B9-74B216FC9DB4}">
          <x14:formula1>
            <xm:f>MATRICES!$D$21:$D$22</xm:f>
          </x14:formula1>
          <xm:sqref>T2:T132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3CDF-2C82-41C8-9CDF-83EFE94FDEF7}">
  <sheetPr>
    <tabColor theme="4"/>
  </sheetPr>
  <dimension ref="A1:I681"/>
  <sheetViews>
    <sheetView workbookViewId="0">
      <pane ySplit="1" topLeftCell="A172" activePane="bottomLeft" state="frozen"/>
      <selection pane="bottomLeft" activeCell="E1" sqref="E1"/>
    </sheetView>
  </sheetViews>
  <sheetFormatPr baseColWidth="10" defaultColWidth="10.85546875" defaultRowHeight="15" x14ac:dyDescent="0.25"/>
  <cols>
    <col min="1" max="1" width="23.85546875" style="1" bestFit="1" customWidth="1"/>
    <col min="2" max="2" width="47.140625" style="1" bestFit="1" customWidth="1"/>
    <col min="3" max="3" width="12.42578125" style="1" bestFit="1" customWidth="1"/>
    <col min="4" max="4" width="19.42578125" style="1" bestFit="1" customWidth="1"/>
    <col min="5" max="5" width="60.7109375" style="1" bestFit="1" customWidth="1"/>
    <col min="6" max="6" width="20.85546875" style="1" customWidth="1"/>
    <col min="7" max="8" width="10.85546875" style="1"/>
    <col min="9" max="9" width="24" style="11" bestFit="1" customWidth="1"/>
    <col min="10" max="16384" width="10.85546875" style="1"/>
  </cols>
  <sheetData>
    <row r="1" spans="1:9" x14ac:dyDescent="0.25">
      <c r="A1" s="4" t="s">
        <v>0</v>
      </c>
      <c r="B1" s="4" t="s">
        <v>1</v>
      </c>
      <c r="C1" s="4" t="s">
        <v>3</v>
      </c>
      <c r="D1" s="4" t="s">
        <v>575</v>
      </c>
      <c r="E1" s="4" t="s">
        <v>576</v>
      </c>
      <c r="F1" s="4" t="s">
        <v>831</v>
      </c>
      <c r="G1" s="4" t="s">
        <v>2</v>
      </c>
      <c r="H1" s="4" t="s">
        <v>4</v>
      </c>
      <c r="I1" s="5" t="s">
        <v>5</v>
      </c>
    </row>
    <row r="2" spans="1:9" x14ac:dyDescent="0.25">
      <c r="A2" s="1" t="s">
        <v>15</v>
      </c>
      <c r="B2" s="1" t="s">
        <v>16</v>
      </c>
      <c r="C2" s="1" t="s">
        <v>559</v>
      </c>
      <c r="D2" s="1" t="s">
        <v>74</v>
      </c>
      <c r="E2" s="1" t="s">
        <v>17</v>
      </c>
      <c r="F2" s="1" t="s">
        <v>18</v>
      </c>
      <c r="G2" s="1" t="s">
        <v>551</v>
      </c>
      <c r="H2" s="1" t="s">
        <v>550</v>
      </c>
    </row>
    <row r="3" spans="1:9" x14ac:dyDescent="0.25">
      <c r="A3" s="1" t="s">
        <v>15</v>
      </c>
      <c r="B3" s="1" t="s">
        <v>16</v>
      </c>
      <c r="C3" s="1" t="s">
        <v>559</v>
      </c>
      <c r="D3" s="1" t="s">
        <v>1099</v>
      </c>
      <c r="E3" s="1" t="s">
        <v>40</v>
      </c>
      <c r="F3" s="1" t="s">
        <v>561</v>
      </c>
      <c r="G3" s="1" t="s">
        <v>550</v>
      </c>
      <c r="H3" s="1" t="s">
        <v>551</v>
      </c>
      <c r="I3" s="11">
        <v>0.44479999999999997</v>
      </c>
    </row>
    <row r="4" spans="1:9" x14ac:dyDescent="0.25">
      <c r="A4" s="1" t="s">
        <v>15</v>
      </c>
      <c r="B4" s="1" t="s">
        <v>16</v>
      </c>
      <c r="C4" s="1" t="s">
        <v>559</v>
      </c>
      <c r="D4" s="1" t="s">
        <v>1099</v>
      </c>
      <c r="E4" s="1" t="s">
        <v>20</v>
      </c>
      <c r="F4" s="1" t="s">
        <v>560</v>
      </c>
      <c r="G4" s="1" t="s">
        <v>550</v>
      </c>
      <c r="H4" s="1" t="s">
        <v>551</v>
      </c>
      <c r="I4" s="11">
        <v>0.1104</v>
      </c>
    </row>
    <row r="5" spans="1:9" x14ac:dyDescent="0.25">
      <c r="A5" s="1" t="s">
        <v>15</v>
      </c>
      <c r="B5" s="1" t="s">
        <v>16</v>
      </c>
      <c r="C5" s="1" t="s">
        <v>559</v>
      </c>
      <c r="D5" s="1" t="s">
        <v>1099</v>
      </c>
      <c r="E5" s="1" t="s">
        <v>21</v>
      </c>
      <c r="F5" s="1" t="s">
        <v>140</v>
      </c>
      <c r="G5" s="1" t="s">
        <v>550</v>
      </c>
      <c r="H5" s="1" t="s">
        <v>551</v>
      </c>
      <c r="I5" s="11">
        <v>0.44479999999999997</v>
      </c>
    </row>
    <row r="6" spans="1:9" x14ac:dyDescent="0.25">
      <c r="A6" s="1" t="s">
        <v>15</v>
      </c>
      <c r="B6" s="1" t="s">
        <v>20</v>
      </c>
      <c r="C6" s="1" t="s">
        <v>560</v>
      </c>
      <c r="D6" s="1" t="s">
        <v>74</v>
      </c>
      <c r="E6" s="1" t="s">
        <v>43</v>
      </c>
      <c r="F6" s="1" t="s">
        <v>44</v>
      </c>
      <c r="G6" s="1" t="s">
        <v>551</v>
      </c>
      <c r="H6" s="1" t="s">
        <v>550</v>
      </c>
    </row>
    <row r="7" spans="1:9" x14ac:dyDescent="0.25">
      <c r="A7" s="1" t="s">
        <v>15</v>
      </c>
      <c r="B7" s="1" t="s">
        <v>20</v>
      </c>
      <c r="C7" s="1" t="s">
        <v>560</v>
      </c>
      <c r="D7" s="1" t="s">
        <v>74</v>
      </c>
      <c r="E7" s="1" t="s">
        <v>17</v>
      </c>
      <c r="F7" s="1" t="s">
        <v>18</v>
      </c>
      <c r="G7" s="1" t="s">
        <v>551</v>
      </c>
      <c r="H7" s="1" t="s">
        <v>550</v>
      </c>
    </row>
    <row r="8" spans="1:9" x14ac:dyDescent="0.25">
      <c r="A8" s="1" t="s">
        <v>15</v>
      </c>
      <c r="B8" s="1" t="s">
        <v>20</v>
      </c>
      <c r="C8" s="1" t="s">
        <v>560</v>
      </c>
      <c r="D8" s="1" t="s">
        <v>1099</v>
      </c>
      <c r="E8" s="1" t="s">
        <v>45</v>
      </c>
      <c r="F8" s="1" t="s">
        <v>46</v>
      </c>
      <c r="G8" s="1" t="s">
        <v>550</v>
      </c>
      <c r="H8" s="1" t="s">
        <v>551</v>
      </c>
      <c r="I8" s="11">
        <v>0.1087</v>
      </c>
    </row>
    <row r="9" spans="1:9" x14ac:dyDescent="0.25">
      <c r="A9" s="1" t="s">
        <v>15</v>
      </c>
      <c r="B9" s="1" t="s">
        <v>20</v>
      </c>
      <c r="C9" s="1" t="s">
        <v>560</v>
      </c>
      <c r="D9" s="1" t="s">
        <v>1099</v>
      </c>
      <c r="E9" s="1" t="s">
        <v>47</v>
      </c>
      <c r="F9" s="1" t="s">
        <v>636</v>
      </c>
      <c r="G9" s="1" t="s">
        <v>550</v>
      </c>
      <c r="H9" s="1" t="s">
        <v>551</v>
      </c>
      <c r="I9" s="11">
        <v>0.1087</v>
      </c>
    </row>
    <row r="10" spans="1:9" x14ac:dyDescent="0.25">
      <c r="A10" s="1" t="s">
        <v>15</v>
      </c>
      <c r="B10" s="1" t="s">
        <v>20</v>
      </c>
      <c r="C10" s="1" t="s">
        <v>560</v>
      </c>
      <c r="D10" s="1" t="s">
        <v>1099</v>
      </c>
      <c r="E10" s="1" t="s">
        <v>48</v>
      </c>
      <c r="F10" s="1" t="s">
        <v>564</v>
      </c>
      <c r="G10" s="1" t="s">
        <v>550</v>
      </c>
      <c r="H10" s="1" t="s">
        <v>551</v>
      </c>
      <c r="I10" s="11">
        <v>0.1087</v>
      </c>
    </row>
    <row r="11" spans="1:9" x14ac:dyDescent="0.25">
      <c r="A11" s="1" t="s">
        <v>15</v>
      </c>
      <c r="B11" s="1" t="s">
        <v>20</v>
      </c>
      <c r="C11" s="1" t="s">
        <v>560</v>
      </c>
      <c r="D11" s="1" t="s">
        <v>1099</v>
      </c>
      <c r="E11" s="1" t="s">
        <v>49</v>
      </c>
      <c r="F11" s="1" t="s">
        <v>570</v>
      </c>
      <c r="G11" s="1" t="s">
        <v>550</v>
      </c>
      <c r="H11" s="1" t="s">
        <v>551</v>
      </c>
      <c r="I11" s="11">
        <v>0.1087</v>
      </c>
    </row>
    <row r="12" spans="1:9" x14ac:dyDescent="0.25">
      <c r="A12" s="1" t="s">
        <v>15</v>
      </c>
      <c r="B12" s="1" t="s">
        <v>20</v>
      </c>
      <c r="C12" s="1" t="s">
        <v>560</v>
      </c>
      <c r="D12" s="1" t="s">
        <v>1099</v>
      </c>
      <c r="E12" s="1" t="s">
        <v>50</v>
      </c>
      <c r="F12" s="1" t="s">
        <v>51</v>
      </c>
      <c r="G12" s="1" t="s">
        <v>550</v>
      </c>
      <c r="H12" s="1" t="s">
        <v>551</v>
      </c>
      <c r="I12" s="11">
        <v>0.1087</v>
      </c>
    </row>
    <row r="13" spans="1:9" x14ac:dyDescent="0.25">
      <c r="A13" s="1" t="s">
        <v>15</v>
      </c>
      <c r="B13" s="1" t="s">
        <v>20</v>
      </c>
      <c r="C13" s="1" t="s">
        <v>560</v>
      </c>
      <c r="D13" s="1" t="s">
        <v>1099</v>
      </c>
      <c r="E13" s="1" t="s">
        <v>16</v>
      </c>
      <c r="F13" s="1" t="s">
        <v>559</v>
      </c>
      <c r="G13" s="1" t="s">
        <v>550</v>
      </c>
      <c r="H13" s="1" t="s">
        <v>551</v>
      </c>
      <c r="I13" s="11">
        <v>0.45650000000000002</v>
      </c>
    </row>
    <row r="14" spans="1:9" x14ac:dyDescent="0.25">
      <c r="A14" s="1" t="s">
        <v>15</v>
      </c>
      <c r="B14" s="1" t="s">
        <v>21</v>
      </c>
      <c r="C14" s="1" t="s">
        <v>140</v>
      </c>
      <c r="D14" s="1" t="s">
        <v>74</v>
      </c>
      <c r="E14" s="1" t="s">
        <v>17</v>
      </c>
      <c r="F14" s="1" t="s">
        <v>18</v>
      </c>
      <c r="G14" s="1" t="s">
        <v>551</v>
      </c>
      <c r="H14" s="1" t="s">
        <v>550</v>
      </c>
    </row>
    <row r="15" spans="1:9" x14ac:dyDescent="0.25">
      <c r="A15" s="1" t="s">
        <v>15</v>
      </c>
      <c r="B15" s="1" t="s">
        <v>21</v>
      </c>
      <c r="C15" s="1" t="s">
        <v>140</v>
      </c>
      <c r="D15" s="1" t="s">
        <v>74</v>
      </c>
      <c r="E15" s="1" t="s">
        <v>60</v>
      </c>
      <c r="F15" s="1" t="s">
        <v>61</v>
      </c>
      <c r="G15" s="1" t="s">
        <v>550</v>
      </c>
      <c r="H15" s="1" t="s">
        <v>551</v>
      </c>
      <c r="I15" s="11">
        <v>1E-4</v>
      </c>
    </row>
    <row r="16" spans="1:9" x14ac:dyDescent="0.25">
      <c r="A16" s="1" t="s">
        <v>15</v>
      </c>
      <c r="B16" s="1" t="s">
        <v>21</v>
      </c>
      <c r="C16" s="1" t="s">
        <v>140</v>
      </c>
      <c r="D16" s="1" t="s">
        <v>74</v>
      </c>
      <c r="E16" s="1" t="s">
        <v>62</v>
      </c>
      <c r="F16" s="1" t="s">
        <v>63</v>
      </c>
      <c r="G16" s="1" t="s">
        <v>550</v>
      </c>
      <c r="H16" s="1" t="s">
        <v>551</v>
      </c>
      <c r="I16" s="11">
        <v>6.6666666666659324E-5</v>
      </c>
    </row>
    <row r="17" spans="1:9" x14ac:dyDescent="0.25">
      <c r="A17" s="1" t="s">
        <v>15</v>
      </c>
      <c r="B17" s="1" t="s">
        <v>21</v>
      </c>
      <c r="C17" s="1" t="s">
        <v>140</v>
      </c>
      <c r="D17" s="1" t="s">
        <v>74</v>
      </c>
      <c r="E17" s="1" t="s">
        <v>64</v>
      </c>
      <c r="F17" s="1" t="s">
        <v>65</v>
      </c>
      <c r="G17" s="1" t="s">
        <v>550</v>
      </c>
      <c r="H17" s="1" t="s">
        <v>551</v>
      </c>
      <c r="I17" s="11">
        <v>6.6666666666659324E-5</v>
      </c>
    </row>
    <row r="18" spans="1:9" x14ac:dyDescent="0.25">
      <c r="A18" s="1" t="s">
        <v>15</v>
      </c>
      <c r="B18" s="1" t="s">
        <v>21</v>
      </c>
      <c r="C18" s="1" t="s">
        <v>140</v>
      </c>
      <c r="D18" s="1" t="s">
        <v>74</v>
      </c>
      <c r="E18" s="1" t="s">
        <v>66</v>
      </c>
      <c r="F18" s="1" t="s">
        <v>67</v>
      </c>
      <c r="G18" s="1" t="s">
        <v>550</v>
      </c>
      <c r="H18" s="1" t="s">
        <v>551</v>
      </c>
      <c r="I18" s="11">
        <v>6.6666666666659324E-5</v>
      </c>
    </row>
    <row r="19" spans="1:9" x14ac:dyDescent="0.25">
      <c r="A19" s="1" t="s">
        <v>15</v>
      </c>
      <c r="B19" s="1" t="s">
        <v>21</v>
      </c>
      <c r="C19" s="1" t="s">
        <v>140</v>
      </c>
      <c r="D19" s="1" t="s">
        <v>74</v>
      </c>
      <c r="E19" s="1" t="s">
        <v>68</v>
      </c>
      <c r="F19" s="1" t="s">
        <v>69</v>
      </c>
      <c r="G19" s="1" t="s">
        <v>550</v>
      </c>
      <c r="H19" s="1" t="s">
        <v>551</v>
      </c>
      <c r="I19" s="11">
        <v>6.6666666666659324E-5</v>
      </c>
    </row>
    <row r="20" spans="1:9" x14ac:dyDescent="0.25">
      <c r="A20" s="1" t="s">
        <v>15</v>
      </c>
      <c r="B20" s="1" t="s">
        <v>21</v>
      </c>
      <c r="C20" s="1" t="s">
        <v>140</v>
      </c>
      <c r="D20" s="1" t="s">
        <v>74</v>
      </c>
      <c r="E20" s="1" t="s">
        <v>70</v>
      </c>
      <c r="F20" s="1" t="s">
        <v>71</v>
      </c>
      <c r="G20" s="1" t="s">
        <v>550</v>
      </c>
      <c r="H20" s="1" t="s">
        <v>551</v>
      </c>
      <c r="I20" s="11">
        <v>6.6666666666659324E-5</v>
      </c>
    </row>
    <row r="21" spans="1:9" x14ac:dyDescent="0.25">
      <c r="A21" s="1" t="s">
        <v>15</v>
      </c>
      <c r="B21" s="1" t="s">
        <v>21</v>
      </c>
      <c r="C21" s="1" t="s">
        <v>140</v>
      </c>
      <c r="D21" s="1" t="s">
        <v>74</v>
      </c>
      <c r="E21" s="1" t="s">
        <v>72</v>
      </c>
      <c r="F21" s="1" t="s">
        <v>73</v>
      </c>
      <c r="G21" s="1" t="s">
        <v>550</v>
      </c>
      <c r="H21" s="1" t="s">
        <v>551</v>
      </c>
      <c r="I21" s="11">
        <v>6.6666666666659324E-5</v>
      </c>
    </row>
    <row r="22" spans="1:9" x14ac:dyDescent="0.25">
      <c r="A22" s="1" t="s">
        <v>15</v>
      </c>
      <c r="B22" s="1" t="s">
        <v>21</v>
      </c>
      <c r="C22" s="1" t="s">
        <v>140</v>
      </c>
      <c r="D22" s="1" t="s">
        <v>1099</v>
      </c>
      <c r="E22" s="1" t="s">
        <v>45</v>
      </c>
      <c r="F22" s="1" t="s">
        <v>46</v>
      </c>
      <c r="G22" s="1" t="s">
        <v>550</v>
      </c>
      <c r="H22" s="1" t="s">
        <v>551</v>
      </c>
      <c r="I22" s="11">
        <v>0.99960000000000004</v>
      </c>
    </row>
    <row r="23" spans="1:9" x14ac:dyDescent="0.25">
      <c r="A23" s="1" t="s">
        <v>15</v>
      </c>
      <c r="B23" s="1" t="s">
        <v>40</v>
      </c>
      <c r="C23" s="1" t="s">
        <v>561</v>
      </c>
      <c r="D23" s="1" t="s">
        <v>74</v>
      </c>
      <c r="E23" s="1" t="s">
        <v>75</v>
      </c>
      <c r="F23" s="1" t="s">
        <v>76</v>
      </c>
      <c r="G23" s="1" t="s">
        <v>551</v>
      </c>
      <c r="H23" s="1" t="s">
        <v>550</v>
      </c>
    </row>
    <row r="24" spans="1:9" x14ac:dyDescent="0.25">
      <c r="A24" s="1" t="s">
        <v>15</v>
      </c>
      <c r="B24" s="1" t="s">
        <v>40</v>
      </c>
      <c r="C24" s="1" t="s">
        <v>561</v>
      </c>
      <c r="D24" s="1" t="s">
        <v>74</v>
      </c>
      <c r="E24" s="1" t="s">
        <v>43</v>
      </c>
      <c r="F24" s="1" t="s">
        <v>44</v>
      </c>
      <c r="G24" s="1" t="s">
        <v>551</v>
      </c>
      <c r="H24" s="1" t="s">
        <v>551</v>
      </c>
      <c r="I24" s="11">
        <v>0.25</v>
      </c>
    </row>
    <row r="25" spans="1:9" x14ac:dyDescent="0.25">
      <c r="A25" s="1" t="s">
        <v>15</v>
      </c>
      <c r="B25" s="1" t="s">
        <v>40</v>
      </c>
      <c r="C25" s="1" t="s">
        <v>561</v>
      </c>
      <c r="D25" s="1" t="s">
        <v>1099</v>
      </c>
      <c r="E25" s="1" t="s">
        <v>77</v>
      </c>
      <c r="F25" s="1" t="s">
        <v>563</v>
      </c>
      <c r="G25" s="1" t="s">
        <v>550</v>
      </c>
      <c r="H25" s="1" t="s">
        <v>551</v>
      </c>
      <c r="I25" s="11">
        <v>0.75</v>
      </c>
    </row>
    <row r="26" spans="1:9" x14ac:dyDescent="0.25">
      <c r="A26" s="1" t="s">
        <v>15</v>
      </c>
      <c r="B26" s="1" t="s">
        <v>78</v>
      </c>
      <c r="C26" s="1" t="s">
        <v>562</v>
      </c>
      <c r="D26" s="1" t="s">
        <v>74</v>
      </c>
      <c r="E26" s="1" t="s">
        <v>17</v>
      </c>
      <c r="F26" s="1" t="s">
        <v>18</v>
      </c>
      <c r="G26" s="1" t="s">
        <v>551</v>
      </c>
      <c r="H26" s="1" t="s">
        <v>550</v>
      </c>
    </row>
    <row r="27" spans="1:9" x14ac:dyDescent="0.25">
      <c r="A27" s="1" t="s">
        <v>15</v>
      </c>
      <c r="B27" s="1" t="s">
        <v>78</v>
      </c>
      <c r="C27" s="1" t="s">
        <v>562</v>
      </c>
      <c r="D27" s="1" t="s">
        <v>74</v>
      </c>
      <c r="E27" s="1" t="s">
        <v>80</v>
      </c>
      <c r="F27" s="1" t="s">
        <v>81</v>
      </c>
      <c r="G27" s="1" t="s">
        <v>551</v>
      </c>
      <c r="H27" s="1" t="s">
        <v>550</v>
      </c>
    </row>
    <row r="28" spans="1:9" x14ac:dyDescent="0.25">
      <c r="A28" s="1" t="s">
        <v>15</v>
      </c>
      <c r="B28" s="1" t="s">
        <v>78</v>
      </c>
      <c r="C28" s="1" t="s">
        <v>562</v>
      </c>
      <c r="D28" s="1" t="s">
        <v>74</v>
      </c>
      <c r="E28" s="1" t="s">
        <v>60</v>
      </c>
      <c r="F28" s="1" t="s">
        <v>61</v>
      </c>
      <c r="G28" s="1" t="s">
        <v>550</v>
      </c>
      <c r="H28" s="1" t="s">
        <v>551</v>
      </c>
      <c r="I28" s="11">
        <v>0.14285714285714285</v>
      </c>
    </row>
    <row r="29" spans="1:9" x14ac:dyDescent="0.25">
      <c r="A29" s="1" t="s">
        <v>15</v>
      </c>
      <c r="B29" s="1" t="s">
        <v>78</v>
      </c>
      <c r="C29" s="1" t="s">
        <v>562</v>
      </c>
      <c r="D29" s="1" t="s">
        <v>74</v>
      </c>
      <c r="E29" s="1" t="s">
        <v>62</v>
      </c>
      <c r="F29" s="1" t="s">
        <v>63</v>
      </c>
      <c r="G29" s="1" t="s">
        <v>550</v>
      </c>
      <c r="H29" s="1" t="s">
        <v>551</v>
      </c>
      <c r="I29" s="11">
        <v>0.14285714285714285</v>
      </c>
    </row>
    <row r="30" spans="1:9" x14ac:dyDescent="0.25">
      <c r="A30" s="1" t="s">
        <v>15</v>
      </c>
      <c r="B30" s="1" t="s">
        <v>78</v>
      </c>
      <c r="C30" s="1" t="s">
        <v>562</v>
      </c>
      <c r="D30" s="1" t="s">
        <v>74</v>
      </c>
      <c r="E30" s="1" t="s">
        <v>64</v>
      </c>
      <c r="F30" s="1" t="s">
        <v>65</v>
      </c>
      <c r="G30" s="1" t="s">
        <v>550</v>
      </c>
      <c r="H30" s="1" t="s">
        <v>551</v>
      </c>
      <c r="I30" s="11">
        <v>0.14285714285714285</v>
      </c>
    </row>
    <row r="31" spans="1:9" x14ac:dyDescent="0.25">
      <c r="A31" s="1" t="s">
        <v>15</v>
      </c>
      <c r="B31" s="1" t="s">
        <v>78</v>
      </c>
      <c r="C31" s="1" t="s">
        <v>562</v>
      </c>
      <c r="D31" s="1" t="s">
        <v>74</v>
      </c>
      <c r="E31" s="1" t="s">
        <v>66</v>
      </c>
      <c r="F31" s="1" t="s">
        <v>67</v>
      </c>
      <c r="G31" s="1" t="s">
        <v>550</v>
      </c>
      <c r="H31" s="1" t="s">
        <v>551</v>
      </c>
      <c r="I31" s="11">
        <v>0.14285714285714285</v>
      </c>
    </row>
    <row r="32" spans="1:9" x14ac:dyDescent="0.25">
      <c r="A32" s="1" t="s">
        <v>15</v>
      </c>
      <c r="B32" s="1" t="s">
        <v>78</v>
      </c>
      <c r="C32" s="1" t="s">
        <v>562</v>
      </c>
      <c r="D32" s="1" t="s">
        <v>74</v>
      </c>
      <c r="E32" s="1" t="s">
        <v>68</v>
      </c>
      <c r="F32" s="1" t="s">
        <v>69</v>
      </c>
      <c r="G32" s="1" t="s">
        <v>550</v>
      </c>
      <c r="H32" s="1" t="s">
        <v>551</v>
      </c>
      <c r="I32" s="11">
        <v>0.14285714285714285</v>
      </c>
    </row>
    <row r="33" spans="1:9" x14ac:dyDescent="0.25">
      <c r="A33" s="1" t="s">
        <v>15</v>
      </c>
      <c r="B33" s="1" t="s">
        <v>78</v>
      </c>
      <c r="C33" s="1" t="s">
        <v>562</v>
      </c>
      <c r="D33" s="1" t="s">
        <v>74</v>
      </c>
      <c r="E33" s="1" t="s">
        <v>70</v>
      </c>
      <c r="F33" s="1" t="s">
        <v>71</v>
      </c>
      <c r="G33" s="1" t="s">
        <v>550</v>
      </c>
      <c r="H33" s="1" t="s">
        <v>551</v>
      </c>
      <c r="I33" s="11">
        <v>0.14285714285714285</v>
      </c>
    </row>
    <row r="34" spans="1:9" x14ac:dyDescent="0.25">
      <c r="A34" s="1" t="s">
        <v>15</v>
      </c>
      <c r="B34" s="1" t="s">
        <v>78</v>
      </c>
      <c r="C34" s="1" t="s">
        <v>562</v>
      </c>
      <c r="D34" s="1" t="s">
        <v>74</v>
      </c>
      <c r="E34" s="1" t="s">
        <v>72</v>
      </c>
      <c r="F34" s="1" t="s">
        <v>73</v>
      </c>
      <c r="G34" s="1" t="s">
        <v>550</v>
      </c>
      <c r="H34" s="1" t="s">
        <v>551</v>
      </c>
      <c r="I34" s="11">
        <v>0.14285714285714285</v>
      </c>
    </row>
    <row r="35" spans="1:9" x14ac:dyDescent="0.25">
      <c r="A35" s="1" t="s">
        <v>15</v>
      </c>
      <c r="B35" s="1" t="s">
        <v>832</v>
      </c>
      <c r="C35" s="1" t="s">
        <v>563</v>
      </c>
      <c r="D35" s="1" t="s">
        <v>74</v>
      </c>
      <c r="E35" s="1" t="s">
        <v>75</v>
      </c>
      <c r="F35" s="1" t="s">
        <v>76</v>
      </c>
      <c r="G35" s="1" t="s">
        <v>551</v>
      </c>
      <c r="H35" s="1" t="s">
        <v>551</v>
      </c>
      <c r="I35" s="11">
        <v>0.33333333333333331</v>
      </c>
    </row>
    <row r="36" spans="1:9" x14ac:dyDescent="0.25">
      <c r="A36" s="1" t="s">
        <v>15</v>
      </c>
      <c r="B36" s="1" t="s">
        <v>832</v>
      </c>
      <c r="C36" s="1" t="s">
        <v>563</v>
      </c>
      <c r="D36" s="1" t="s">
        <v>74</v>
      </c>
      <c r="E36" s="1" t="s">
        <v>84</v>
      </c>
      <c r="F36" s="1" t="s">
        <v>85</v>
      </c>
      <c r="G36" s="1" t="s">
        <v>550</v>
      </c>
      <c r="H36" s="1" t="s">
        <v>551</v>
      </c>
      <c r="I36" s="11">
        <v>0.33333333333333331</v>
      </c>
    </row>
    <row r="37" spans="1:9" x14ac:dyDescent="0.25">
      <c r="A37" s="1" t="s">
        <v>15</v>
      </c>
      <c r="B37" s="1" t="s">
        <v>832</v>
      </c>
      <c r="C37" s="1" t="s">
        <v>563</v>
      </c>
      <c r="D37" s="1" t="s">
        <v>74</v>
      </c>
      <c r="E37" s="1" t="s">
        <v>86</v>
      </c>
      <c r="F37" s="1" t="s">
        <v>87</v>
      </c>
      <c r="G37" s="1" t="s">
        <v>550</v>
      </c>
      <c r="H37" s="1" t="s">
        <v>551</v>
      </c>
      <c r="I37" s="11">
        <v>0.33333333333333331</v>
      </c>
    </row>
    <row r="38" spans="1:9" x14ac:dyDescent="0.25">
      <c r="A38" s="1" t="s">
        <v>15</v>
      </c>
      <c r="B38" s="1" t="s">
        <v>48</v>
      </c>
      <c r="C38" s="1" t="s">
        <v>564</v>
      </c>
      <c r="D38" s="1" t="s">
        <v>74</v>
      </c>
      <c r="E38" s="1" t="s">
        <v>88</v>
      </c>
      <c r="F38" s="1" t="s">
        <v>89</v>
      </c>
      <c r="G38" s="1" t="s">
        <v>551</v>
      </c>
      <c r="H38" s="1" t="s">
        <v>551</v>
      </c>
      <c r="I38" s="11">
        <v>0.5</v>
      </c>
    </row>
    <row r="39" spans="1:9" x14ac:dyDescent="0.25">
      <c r="A39" s="1" t="s">
        <v>15</v>
      </c>
      <c r="B39" s="1" t="s">
        <v>48</v>
      </c>
      <c r="C39" s="1" t="s">
        <v>564</v>
      </c>
      <c r="D39" s="1" t="s">
        <v>74</v>
      </c>
      <c r="E39" s="1" t="s">
        <v>90</v>
      </c>
      <c r="F39" s="1" t="s">
        <v>91</v>
      </c>
      <c r="G39" s="1" t="s">
        <v>551</v>
      </c>
      <c r="H39" s="1" t="s">
        <v>551</v>
      </c>
      <c r="I39" s="11">
        <v>0.5</v>
      </c>
    </row>
    <row r="40" spans="1:9" x14ac:dyDescent="0.25">
      <c r="A40" s="1" t="s">
        <v>15</v>
      </c>
      <c r="B40" s="1" t="s">
        <v>833</v>
      </c>
      <c r="C40" s="1" t="s">
        <v>46</v>
      </c>
      <c r="D40" s="1" t="s">
        <v>74</v>
      </c>
      <c r="E40" s="1" t="s">
        <v>96</v>
      </c>
      <c r="F40" s="1" t="s">
        <v>97</v>
      </c>
      <c r="G40" s="1" t="s">
        <v>551</v>
      </c>
      <c r="H40" s="1" t="s">
        <v>551</v>
      </c>
      <c r="I40" s="11">
        <v>0.2</v>
      </c>
    </row>
    <row r="41" spans="1:9" x14ac:dyDescent="0.25">
      <c r="A41" s="1" t="s">
        <v>15</v>
      </c>
      <c r="B41" s="1" t="s">
        <v>833</v>
      </c>
      <c r="C41" s="1" t="s">
        <v>46</v>
      </c>
      <c r="D41" s="1" t="s">
        <v>74</v>
      </c>
      <c r="E41" s="1" t="s">
        <v>94</v>
      </c>
      <c r="F41" s="1" t="s">
        <v>95</v>
      </c>
      <c r="G41" s="1" t="s">
        <v>551</v>
      </c>
      <c r="H41" s="1" t="s">
        <v>551</v>
      </c>
      <c r="I41" s="11">
        <v>0.2</v>
      </c>
    </row>
    <row r="42" spans="1:9" x14ac:dyDescent="0.25">
      <c r="A42" s="1" t="s">
        <v>15</v>
      </c>
      <c r="B42" s="1" t="s">
        <v>833</v>
      </c>
      <c r="C42" s="1" t="s">
        <v>46</v>
      </c>
      <c r="D42" s="1" t="s">
        <v>74</v>
      </c>
      <c r="E42" s="1" t="s">
        <v>99</v>
      </c>
      <c r="F42" s="1" t="s">
        <v>100</v>
      </c>
      <c r="G42" s="1" t="s">
        <v>550</v>
      </c>
      <c r="H42" s="1" t="s">
        <v>551</v>
      </c>
      <c r="I42" s="11">
        <v>0.2</v>
      </c>
    </row>
    <row r="43" spans="1:9" x14ac:dyDescent="0.25">
      <c r="A43" s="1" t="s">
        <v>15</v>
      </c>
      <c r="B43" s="1" t="s">
        <v>833</v>
      </c>
      <c r="C43" s="1" t="s">
        <v>46</v>
      </c>
      <c r="D43" s="1" t="s">
        <v>74</v>
      </c>
      <c r="E43" s="1" t="s">
        <v>101</v>
      </c>
      <c r="F43" s="1" t="s">
        <v>102</v>
      </c>
      <c r="G43" s="1" t="s">
        <v>550</v>
      </c>
      <c r="H43" s="1" t="s">
        <v>551</v>
      </c>
      <c r="I43" s="11">
        <v>0.2</v>
      </c>
    </row>
    <row r="44" spans="1:9" x14ac:dyDescent="0.25">
      <c r="A44" s="1" t="s">
        <v>15</v>
      </c>
      <c r="B44" s="1" t="s">
        <v>833</v>
      </c>
      <c r="C44" s="1" t="s">
        <v>46</v>
      </c>
      <c r="D44" s="1" t="s">
        <v>74</v>
      </c>
      <c r="E44" s="1" t="s">
        <v>103</v>
      </c>
      <c r="F44" s="1" t="s">
        <v>104</v>
      </c>
      <c r="G44" s="1" t="s">
        <v>550</v>
      </c>
      <c r="H44" s="1" t="s">
        <v>551</v>
      </c>
      <c r="I44" s="11">
        <v>0.2</v>
      </c>
    </row>
    <row r="45" spans="1:9" x14ac:dyDescent="0.25">
      <c r="A45" s="1" t="s">
        <v>15</v>
      </c>
      <c r="B45" s="1" t="s">
        <v>105</v>
      </c>
      <c r="C45" s="1" t="s">
        <v>565</v>
      </c>
      <c r="D45" s="1" t="s">
        <v>74</v>
      </c>
      <c r="E45" s="1" t="s">
        <v>43</v>
      </c>
      <c r="F45" s="1" t="s">
        <v>44</v>
      </c>
      <c r="G45" s="1" t="s">
        <v>551</v>
      </c>
      <c r="H45" s="1" t="s">
        <v>550</v>
      </c>
    </row>
    <row r="46" spans="1:9" x14ac:dyDescent="0.25">
      <c r="A46" s="1" t="s">
        <v>15</v>
      </c>
      <c r="B46" s="1" t="s">
        <v>105</v>
      </c>
      <c r="C46" s="1" t="s">
        <v>565</v>
      </c>
      <c r="D46" s="1" t="s">
        <v>74</v>
      </c>
      <c r="E46" s="1" t="s">
        <v>17</v>
      </c>
      <c r="F46" s="1" t="s">
        <v>18</v>
      </c>
      <c r="G46" s="1" t="s">
        <v>551</v>
      </c>
      <c r="H46" s="1" t="s">
        <v>550</v>
      </c>
    </row>
    <row r="47" spans="1:9" x14ac:dyDescent="0.25">
      <c r="A47" s="1" t="s">
        <v>15</v>
      </c>
      <c r="B47" s="1" t="s">
        <v>105</v>
      </c>
      <c r="C47" s="1" t="s">
        <v>565</v>
      </c>
      <c r="D47" s="1" t="s">
        <v>74</v>
      </c>
      <c r="E47" s="1" t="s">
        <v>107</v>
      </c>
      <c r="F47" s="1" t="s">
        <v>108</v>
      </c>
      <c r="G47" s="1" t="s">
        <v>551</v>
      </c>
      <c r="H47" s="1" t="s">
        <v>550</v>
      </c>
    </row>
    <row r="48" spans="1:9" x14ac:dyDescent="0.25">
      <c r="A48" s="1" t="s">
        <v>15</v>
      </c>
      <c r="B48" s="1" t="s">
        <v>105</v>
      </c>
      <c r="C48" s="1" t="s">
        <v>565</v>
      </c>
      <c r="D48" s="1" t="s">
        <v>74</v>
      </c>
      <c r="E48" s="1" t="s">
        <v>109</v>
      </c>
      <c r="F48" s="1" t="s">
        <v>110</v>
      </c>
      <c r="G48" s="1" t="s">
        <v>551</v>
      </c>
      <c r="H48" s="1" t="s">
        <v>550</v>
      </c>
    </row>
    <row r="49" spans="1:9" x14ac:dyDescent="0.25">
      <c r="A49" s="1" t="s">
        <v>15</v>
      </c>
      <c r="B49" s="1" t="s">
        <v>105</v>
      </c>
      <c r="C49" s="1" t="s">
        <v>565</v>
      </c>
      <c r="D49" s="1" t="s">
        <v>74</v>
      </c>
      <c r="E49" s="1" t="s">
        <v>90</v>
      </c>
      <c r="F49" s="1" t="s">
        <v>91</v>
      </c>
      <c r="G49" s="1" t="s">
        <v>551</v>
      </c>
      <c r="H49" s="1" t="s">
        <v>550</v>
      </c>
    </row>
    <row r="50" spans="1:9" x14ac:dyDescent="0.25">
      <c r="A50" s="1" t="s">
        <v>15</v>
      </c>
      <c r="B50" s="1" t="s">
        <v>105</v>
      </c>
      <c r="C50" s="1" t="s">
        <v>565</v>
      </c>
      <c r="D50" s="1" t="s">
        <v>1099</v>
      </c>
      <c r="E50" s="1" t="s">
        <v>19</v>
      </c>
      <c r="F50" s="1" t="s">
        <v>561</v>
      </c>
      <c r="G50" s="1" t="s">
        <v>550</v>
      </c>
      <c r="H50" s="1" t="s">
        <v>551</v>
      </c>
      <c r="I50" s="11">
        <v>0.48</v>
      </c>
    </row>
    <row r="51" spans="1:9" x14ac:dyDescent="0.25">
      <c r="A51" s="1" t="s">
        <v>15</v>
      </c>
      <c r="B51" s="1" t="s">
        <v>105</v>
      </c>
      <c r="C51" s="1" t="s">
        <v>565</v>
      </c>
      <c r="D51" s="1" t="s">
        <v>1099</v>
      </c>
      <c r="E51" s="1" t="s">
        <v>48</v>
      </c>
      <c r="F51" s="1" t="s">
        <v>564</v>
      </c>
      <c r="G51" s="1" t="s">
        <v>550</v>
      </c>
      <c r="H51" s="1" t="s">
        <v>551</v>
      </c>
      <c r="I51" s="11">
        <v>0.06</v>
      </c>
    </row>
    <row r="52" spans="1:9" x14ac:dyDescent="0.25">
      <c r="A52" s="1" t="s">
        <v>15</v>
      </c>
      <c r="B52" s="1" t="s">
        <v>105</v>
      </c>
      <c r="C52" s="1" t="s">
        <v>565</v>
      </c>
      <c r="D52" s="1" t="s">
        <v>1099</v>
      </c>
      <c r="E52" s="1" t="s">
        <v>21</v>
      </c>
      <c r="F52" s="1" t="s">
        <v>140</v>
      </c>
      <c r="G52" s="1" t="s">
        <v>550</v>
      </c>
      <c r="H52" s="1" t="s">
        <v>551</v>
      </c>
      <c r="I52" s="11">
        <v>0.46</v>
      </c>
    </row>
    <row r="53" spans="1:9" x14ac:dyDescent="0.25">
      <c r="A53" s="1" t="s">
        <v>15</v>
      </c>
      <c r="B53" s="1" t="s">
        <v>133</v>
      </c>
      <c r="C53" s="1" t="s">
        <v>579</v>
      </c>
      <c r="D53" s="1" t="s">
        <v>74</v>
      </c>
      <c r="E53" s="1" t="s">
        <v>43</v>
      </c>
      <c r="F53" s="1" t="s">
        <v>44</v>
      </c>
      <c r="G53" s="1" t="s">
        <v>551</v>
      </c>
      <c r="H53" s="1" t="s">
        <v>550</v>
      </c>
    </row>
    <row r="54" spans="1:9" x14ac:dyDescent="0.25">
      <c r="A54" s="1" t="s">
        <v>15</v>
      </c>
      <c r="B54" s="1" t="s">
        <v>133</v>
      </c>
      <c r="C54" s="1" t="s">
        <v>579</v>
      </c>
      <c r="D54" s="1" t="s">
        <v>74</v>
      </c>
      <c r="E54" s="1" t="s">
        <v>17</v>
      </c>
      <c r="F54" s="1" t="s">
        <v>18</v>
      </c>
      <c r="G54" s="1" t="s">
        <v>551</v>
      </c>
      <c r="H54" s="1" t="s">
        <v>550</v>
      </c>
    </row>
    <row r="55" spans="1:9" x14ac:dyDescent="0.25">
      <c r="A55" s="1" t="s">
        <v>15</v>
      </c>
      <c r="B55" s="1" t="s">
        <v>133</v>
      </c>
      <c r="C55" s="1" t="s">
        <v>579</v>
      </c>
      <c r="D55" s="1" t="s">
        <v>74</v>
      </c>
      <c r="E55" s="1" t="s">
        <v>107</v>
      </c>
      <c r="F55" s="1" t="s">
        <v>108</v>
      </c>
      <c r="G55" s="1" t="s">
        <v>551</v>
      </c>
      <c r="H55" s="1" t="s">
        <v>550</v>
      </c>
    </row>
    <row r="56" spans="1:9" x14ac:dyDescent="0.25">
      <c r="A56" s="1" t="s">
        <v>15</v>
      </c>
      <c r="B56" s="1" t="s">
        <v>133</v>
      </c>
      <c r="C56" s="1" t="s">
        <v>579</v>
      </c>
      <c r="D56" s="1" t="s">
        <v>1099</v>
      </c>
      <c r="E56" s="1" t="s">
        <v>19</v>
      </c>
      <c r="F56" s="1" t="s">
        <v>561</v>
      </c>
      <c r="G56" s="1" t="s">
        <v>550</v>
      </c>
      <c r="H56" s="1" t="s">
        <v>551</v>
      </c>
      <c r="I56" s="11">
        <v>0.33333333333333331</v>
      </c>
    </row>
    <row r="57" spans="1:9" x14ac:dyDescent="0.25">
      <c r="A57" s="1" t="s">
        <v>15</v>
      </c>
      <c r="B57" s="1" t="s">
        <v>133</v>
      </c>
      <c r="C57" s="1" t="s">
        <v>579</v>
      </c>
      <c r="D57" s="1" t="s">
        <v>1099</v>
      </c>
      <c r="E57" s="1" t="s">
        <v>21</v>
      </c>
      <c r="F57" s="1" t="s">
        <v>140</v>
      </c>
      <c r="G57" s="1" t="s">
        <v>550</v>
      </c>
      <c r="H57" s="1" t="s">
        <v>551</v>
      </c>
      <c r="I57" s="11">
        <v>0.33333333333333331</v>
      </c>
    </row>
    <row r="58" spans="1:9" x14ac:dyDescent="0.25">
      <c r="A58" s="1" t="s">
        <v>15</v>
      </c>
      <c r="B58" s="1" t="s">
        <v>133</v>
      </c>
      <c r="C58" s="1" t="s">
        <v>579</v>
      </c>
      <c r="D58" s="1" t="s">
        <v>1099</v>
      </c>
      <c r="E58" s="1" t="s">
        <v>135</v>
      </c>
      <c r="F58" s="1" t="s">
        <v>136</v>
      </c>
      <c r="G58" s="1" t="s">
        <v>550</v>
      </c>
      <c r="H58" s="1" t="s">
        <v>551</v>
      </c>
      <c r="I58" s="11">
        <v>0.33333333333333331</v>
      </c>
    </row>
    <row r="59" spans="1:9" x14ac:dyDescent="0.25">
      <c r="A59" s="1" t="s">
        <v>15</v>
      </c>
      <c r="B59" s="1" t="s">
        <v>111</v>
      </c>
      <c r="C59" s="1" t="s">
        <v>566</v>
      </c>
      <c r="D59" s="1" t="s">
        <v>74</v>
      </c>
      <c r="E59" s="1" t="s">
        <v>17</v>
      </c>
      <c r="F59" s="1" t="s">
        <v>139</v>
      </c>
      <c r="G59" s="1" t="s">
        <v>551</v>
      </c>
      <c r="H59" s="1" t="s">
        <v>550</v>
      </c>
    </row>
    <row r="60" spans="1:9" x14ac:dyDescent="0.25">
      <c r="A60" s="1" t="s">
        <v>15</v>
      </c>
      <c r="B60" s="1" t="s">
        <v>111</v>
      </c>
      <c r="C60" s="1" t="s">
        <v>566</v>
      </c>
      <c r="D60" s="1" t="s">
        <v>74</v>
      </c>
      <c r="E60" s="1" t="s">
        <v>80</v>
      </c>
      <c r="F60" s="1" t="s">
        <v>81</v>
      </c>
      <c r="G60" s="1" t="s">
        <v>551</v>
      </c>
      <c r="H60" s="1" t="s">
        <v>550</v>
      </c>
    </row>
    <row r="61" spans="1:9" x14ac:dyDescent="0.25">
      <c r="A61" s="1" t="s">
        <v>15</v>
      </c>
      <c r="B61" s="1" t="s">
        <v>111</v>
      </c>
      <c r="C61" s="1" t="s">
        <v>566</v>
      </c>
      <c r="D61" s="1" t="s">
        <v>1099</v>
      </c>
      <c r="E61" s="1" t="s">
        <v>21</v>
      </c>
      <c r="F61" s="1" t="s">
        <v>140</v>
      </c>
      <c r="G61" s="1" t="s">
        <v>550</v>
      </c>
      <c r="H61" s="1" t="s">
        <v>551</v>
      </c>
      <c r="I61" s="11">
        <v>1</v>
      </c>
    </row>
    <row r="62" spans="1:9" x14ac:dyDescent="0.25">
      <c r="A62" s="1" t="s">
        <v>15</v>
      </c>
      <c r="B62" s="1" t="s">
        <v>112</v>
      </c>
      <c r="C62" s="1" t="s">
        <v>567</v>
      </c>
      <c r="D62" s="1" t="s">
        <v>74</v>
      </c>
      <c r="E62" s="1" t="s">
        <v>17</v>
      </c>
      <c r="F62" s="1" t="s">
        <v>139</v>
      </c>
      <c r="G62" s="1" t="s">
        <v>551</v>
      </c>
      <c r="H62" s="1" t="s">
        <v>550</v>
      </c>
    </row>
    <row r="63" spans="1:9" x14ac:dyDescent="0.25">
      <c r="A63" s="1" t="s">
        <v>15</v>
      </c>
      <c r="B63" s="1" t="s">
        <v>112</v>
      </c>
      <c r="C63" s="1" t="s">
        <v>567</v>
      </c>
      <c r="D63" s="1" t="s">
        <v>74</v>
      </c>
      <c r="E63" s="1" t="s">
        <v>141</v>
      </c>
      <c r="F63" s="1" t="s">
        <v>76</v>
      </c>
      <c r="G63" s="1" t="s">
        <v>551</v>
      </c>
      <c r="H63" s="1" t="s">
        <v>550</v>
      </c>
    </row>
    <row r="64" spans="1:9" x14ac:dyDescent="0.25">
      <c r="A64" s="1" t="s">
        <v>15</v>
      </c>
      <c r="B64" s="1" t="s">
        <v>112</v>
      </c>
      <c r="C64" s="1" t="s">
        <v>567</v>
      </c>
      <c r="D64" s="1" t="s">
        <v>1099</v>
      </c>
      <c r="E64" s="1" t="s">
        <v>40</v>
      </c>
      <c r="F64" s="1" t="s">
        <v>142</v>
      </c>
      <c r="G64" s="1" t="s">
        <v>550</v>
      </c>
      <c r="H64" s="1" t="s">
        <v>551</v>
      </c>
      <c r="I64" s="11">
        <v>1</v>
      </c>
    </row>
    <row r="65" spans="1:9" x14ac:dyDescent="0.25">
      <c r="A65" s="1" t="s">
        <v>113</v>
      </c>
      <c r="B65" s="1" t="s">
        <v>114</v>
      </c>
      <c r="C65" s="1" t="s">
        <v>568</v>
      </c>
      <c r="D65" s="1" t="s">
        <v>74</v>
      </c>
      <c r="E65" s="1" t="s">
        <v>127</v>
      </c>
      <c r="F65" s="1" t="s">
        <v>128</v>
      </c>
      <c r="G65" s="1" t="s">
        <v>550</v>
      </c>
      <c r="H65" s="1" t="s">
        <v>551</v>
      </c>
      <c r="I65" s="11">
        <v>0.16300000000000001</v>
      </c>
    </row>
    <row r="66" spans="1:9" x14ac:dyDescent="0.25">
      <c r="A66" s="1" t="s">
        <v>113</v>
      </c>
      <c r="B66" s="1" t="s">
        <v>114</v>
      </c>
      <c r="C66" s="1" t="s">
        <v>568</v>
      </c>
      <c r="D66" s="1" t="s">
        <v>74</v>
      </c>
      <c r="E66" s="1" t="s">
        <v>129</v>
      </c>
      <c r="F66" s="1" t="s">
        <v>130</v>
      </c>
      <c r="G66" s="1" t="s">
        <v>550</v>
      </c>
      <c r="H66" s="1" t="s">
        <v>551</v>
      </c>
      <c r="I66" s="11">
        <v>0.16300000000000001</v>
      </c>
    </row>
    <row r="67" spans="1:9" x14ac:dyDescent="0.25">
      <c r="A67" s="1" t="s">
        <v>113</v>
      </c>
      <c r="B67" s="1" t="s">
        <v>114</v>
      </c>
      <c r="C67" s="1" t="s">
        <v>568</v>
      </c>
      <c r="D67" s="1" t="s">
        <v>74</v>
      </c>
      <c r="E67" s="1" t="s">
        <v>115</v>
      </c>
      <c r="F67" s="1" t="s">
        <v>116</v>
      </c>
      <c r="G67" s="1" t="s">
        <v>551</v>
      </c>
      <c r="H67" s="1" t="s">
        <v>551</v>
      </c>
      <c r="I67" s="11">
        <v>0.17</v>
      </c>
    </row>
    <row r="68" spans="1:9" x14ac:dyDescent="0.25">
      <c r="A68" s="1" t="s">
        <v>113</v>
      </c>
      <c r="B68" s="1" t="s">
        <v>114</v>
      </c>
      <c r="C68" s="1" t="s">
        <v>568</v>
      </c>
      <c r="D68" s="1" t="s">
        <v>74</v>
      </c>
      <c r="E68" s="1" t="s">
        <v>117</v>
      </c>
      <c r="F68" s="1" t="s">
        <v>118</v>
      </c>
      <c r="G68" s="1" t="s">
        <v>551</v>
      </c>
      <c r="H68" s="1" t="s">
        <v>551</v>
      </c>
      <c r="I68" s="11">
        <v>0.17</v>
      </c>
    </row>
    <row r="69" spans="1:9" x14ac:dyDescent="0.25">
      <c r="A69" s="1" t="s">
        <v>113</v>
      </c>
      <c r="B69" s="1" t="s">
        <v>114</v>
      </c>
      <c r="C69" s="1" t="s">
        <v>568</v>
      </c>
      <c r="D69" s="1" t="s">
        <v>74</v>
      </c>
      <c r="E69" s="1" t="s">
        <v>122</v>
      </c>
      <c r="F69" s="1" t="s">
        <v>123</v>
      </c>
      <c r="G69" s="1" t="s">
        <v>550</v>
      </c>
      <c r="H69" s="1" t="s">
        <v>551</v>
      </c>
      <c r="I69" s="11">
        <v>0.16400000000000001</v>
      </c>
    </row>
    <row r="70" spans="1:9" x14ac:dyDescent="0.25">
      <c r="A70" s="1" t="s">
        <v>113</v>
      </c>
      <c r="B70" s="1" t="s">
        <v>114</v>
      </c>
      <c r="C70" s="1" t="s">
        <v>568</v>
      </c>
      <c r="D70" s="1" t="s">
        <v>74</v>
      </c>
      <c r="E70" s="1" t="s">
        <v>131</v>
      </c>
      <c r="F70" s="1" t="s">
        <v>132</v>
      </c>
      <c r="G70" s="1" t="s">
        <v>550</v>
      </c>
      <c r="H70" s="1" t="s">
        <v>551</v>
      </c>
      <c r="I70" s="11">
        <v>0.17</v>
      </c>
    </row>
    <row r="71" spans="1:9" x14ac:dyDescent="0.25">
      <c r="A71" s="1" t="s">
        <v>113</v>
      </c>
      <c r="B71" s="1" t="s">
        <v>119</v>
      </c>
      <c r="C71" s="1" t="s">
        <v>569</v>
      </c>
      <c r="D71" s="1" t="s">
        <v>74</v>
      </c>
      <c r="E71" s="1" t="s">
        <v>120</v>
      </c>
      <c r="F71" s="1" t="s">
        <v>121</v>
      </c>
      <c r="G71" s="1" t="s">
        <v>551</v>
      </c>
      <c r="H71" s="1" t="s">
        <v>551</v>
      </c>
      <c r="I71" s="11">
        <v>0.5</v>
      </c>
    </row>
    <row r="72" spans="1:9" x14ac:dyDescent="0.25">
      <c r="A72" s="1" t="s">
        <v>113</v>
      </c>
      <c r="B72" s="1" t="s">
        <v>119</v>
      </c>
      <c r="C72" s="1" t="s">
        <v>569</v>
      </c>
      <c r="D72" s="1" t="s">
        <v>74</v>
      </c>
      <c r="E72" s="1" t="s">
        <v>122</v>
      </c>
      <c r="F72" s="1" t="s">
        <v>123</v>
      </c>
      <c r="G72" s="1" t="s">
        <v>551</v>
      </c>
      <c r="H72" s="1" t="s">
        <v>551</v>
      </c>
      <c r="I72" s="11">
        <v>0.5</v>
      </c>
    </row>
    <row r="73" spans="1:9" x14ac:dyDescent="0.25">
      <c r="A73" s="1" t="s">
        <v>113</v>
      </c>
      <c r="B73" s="1" t="s">
        <v>49</v>
      </c>
      <c r="C73" s="1" t="s">
        <v>570</v>
      </c>
      <c r="D73" s="1" t="s">
        <v>74</v>
      </c>
      <c r="E73" s="1" t="s">
        <v>120</v>
      </c>
      <c r="F73" s="1" t="s">
        <v>121</v>
      </c>
      <c r="G73" s="1" t="s">
        <v>551</v>
      </c>
      <c r="H73" s="1" t="s">
        <v>551</v>
      </c>
      <c r="I73" s="11">
        <v>0.5</v>
      </c>
    </row>
    <row r="74" spans="1:9" x14ac:dyDescent="0.25">
      <c r="A74" s="1" t="s">
        <v>113</v>
      </c>
      <c r="B74" s="1" t="s">
        <v>49</v>
      </c>
      <c r="C74" s="1" t="s">
        <v>570</v>
      </c>
      <c r="D74" s="1" t="s">
        <v>74</v>
      </c>
      <c r="E74" s="1" t="s">
        <v>122</v>
      </c>
      <c r="F74" s="1" t="s">
        <v>123</v>
      </c>
      <c r="G74" s="1" t="s">
        <v>551</v>
      </c>
      <c r="H74" s="1" t="s">
        <v>551</v>
      </c>
      <c r="I74" s="11">
        <v>0.5</v>
      </c>
    </row>
    <row r="75" spans="1:9" x14ac:dyDescent="0.25">
      <c r="A75" s="1" t="s">
        <v>552</v>
      </c>
      <c r="B75" s="1" t="s">
        <v>143</v>
      </c>
      <c r="C75" s="1" t="s">
        <v>144</v>
      </c>
      <c r="D75" s="1" t="s">
        <v>74</v>
      </c>
      <c r="E75" s="1" t="s">
        <v>145</v>
      </c>
      <c r="F75" s="1" t="s">
        <v>146</v>
      </c>
      <c r="G75" s="1" t="s">
        <v>551</v>
      </c>
      <c r="H75" s="1" t="s">
        <v>550</v>
      </c>
    </row>
    <row r="76" spans="1:9" x14ac:dyDescent="0.25">
      <c r="A76" s="1" t="s">
        <v>552</v>
      </c>
      <c r="B76" s="1" t="s">
        <v>143</v>
      </c>
      <c r="C76" s="1" t="s">
        <v>144</v>
      </c>
      <c r="D76" s="1" t="s">
        <v>74</v>
      </c>
      <c r="E76" s="1" t="s">
        <v>149</v>
      </c>
      <c r="F76" s="1" t="s">
        <v>150</v>
      </c>
      <c r="G76" s="1" t="s">
        <v>551</v>
      </c>
      <c r="H76" s="1" t="s">
        <v>550</v>
      </c>
    </row>
    <row r="77" spans="1:9" x14ac:dyDescent="0.25">
      <c r="A77" s="1" t="s">
        <v>552</v>
      </c>
      <c r="B77" s="1" t="s">
        <v>143</v>
      </c>
      <c r="C77" s="1" t="s">
        <v>144</v>
      </c>
      <c r="D77" s="1" t="s">
        <v>74</v>
      </c>
      <c r="E77" s="1" t="s">
        <v>153</v>
      </c>
      <c r="F77" s="1" t="s">
        <v>154</v>
      </c>
      <c r="G77" s="1" t="s">
        <v>551</v>
      </c>
      <c r="H77" s="1" t="s">
        <v>550</v>
      </c>
    </row>
    <row r="78" spans="1:9" x14ac:dyDescent="0.25">
      <c r="A78" s="1" t="s">
        <v>552</v>
      </c>
      <c r="B78" s="1" t="s">
        <v>143</v>
      </c>
      <c r="C78" s="1" t="s">
        <v>144</v>
      </c>
      <c r="D78" s="1" t="s">
        <v>74</v>
      </c>
      <c r="E78" s="1" t="s">
        <v>157</v>
      </c>
      <c r="F78" s="1" t="s">
        <v>158</v>
      </c>
      <c r="G78" s="1" t="s">
        <v>551</v>
      </c>
      <c r="H78" s="1" t="s">
        <v>550</v>
      </c>
    </row>
    <row r="79" spans="1:9" x14ac:dyDescent="0.25">
      <c r="A79" s="1" t="s">
        <v>552</v>
      </c>
      <c r="B79" s="1" t="s">
        <v>143</v>
      </c>
      <c r="C79" s="1" t="s">
        <v>144</v>
      </c>
      <c r="D79" s="1" t="s">
        <v>74</v>
      </c>
      <c r="E79" s="1" t="s">
        <v>147</v>
      </c>
      <c r="F79" s="1" t="s">
        <v>148</v>
      </c>
      <c r="G79" s="1" t="s">
        <v>550</v>
      </c>
      <c r="H79" s="1" t="s">
        <v>551</v>
      </c>
      <c r="I79" s="11">
        <v>0.105</v>
      </c>
    </row>
    <row r="80" spans="1:9" x14ac:dyDescent="0.25">
      <c r="A80" s="1" t="s">
        <v>552</v>
      </c>
      <c r="B80" s="1" t="s">
        <v>143</v>
      </c>
      <c r="C80" s="1" t="s">
        <v>144</v>
      </c>
      <c r="D80" s="1" t="s">
        <v>74</v>
      </c>
      <c r="E80" s="1" t="s">
        <v>151</v>
      </c>
      <c r="F80" s="1" t="s">
        <v>152</v>
      </c>
      <c r="G80" s="1" t="s">
        <v>550</v>
      </c>
      <c r="H80" s="1" t="s">
        <v>551</v>
      </c>
      <c r="I80" s="11">
        <v>0.125</v>
      </c>
    </row>
    <row r="81" spans="1:9" x14ac:dyDescent="0.25">
      <c r="A81" s="1" t="s">
        <v>552</v>
      </c>
      <c r="B81" s="1" t="s">
        <v>143</v>
      </c>
      <c r="C81" s="1" t="s">
        <v>144</v>
      </c>
      <c r="D81" s="1" t="s">
        <v>1099</v>
      </c>
      <c r="E81" s="1" t="s">
        <v>155</v>
      </c>
      <c r="F81" s="1" t="s">
        <v>156</v>
      </c>
      <c r="G81" s="1" t="s">
        <v>550</v>
      </c>
      <c r="H81" s="1" t="s">
        <v>551</v>
      </c>
      <c r="I81" s="11">
        <v>0.77</v>
      </c>
    </row>
    <row r="82" spans="1:9" x14ac:dyDescent="0.25">
      <c r="A82" s="1" t="s">
        <v>552</v>
      </c>
      <c r="B82" s="1" t="s">
        <v>159</v>
      </c>
      <c r="C82" s="1" t="s">
        <v>180</v>
      </c>
      <c r="D82" s="1" t="s">
        <v>74</v>
      </c>
      <c r="E82" s="1" t="s">
        <v>160</v>
      </c>
      <c r="F82" s="1" t="s">
        <v>161</v>
      </c>
      <c r="G82" s="1" t="s">
        <v>551</v>
      </c>
      <c r="H82" s="1" t="s">
        <v>550</v>
      </c>
    </row>
    <row r="83" spans="1:9" x14ac:dyDescent="0.25">
      <c r="A83" s="1" t="s">
        <v>552</v>
      </c>
      <c r="B83" s="1" t="s">
        <v>159</v>
      </c>
      <c r="C83" s="1" t="s">
        <v>180</v>
      </c>
      <c r="D83" s="1" t="s">
        <v>1099</v>
      </c>
      <c r="E83" s="1" t="s">
        <v>162</v>
      </c>
      <c r="F83" s="1" t="s">
        <v>163</v>
      </c>
      <c r="G83" s="1" t="s">
        <v>550</v>
      </c>
      <c r="H83" s="1" t="s">
        <v>551</v>
      </c>
      <c r="I83" s="11">
        <v>0.01</v>
      </c>
    </row>
    <row r="84" spans="1:9" x14ac:dyDescent="0.25">
      <c r="A84" s="1" t="s">
        <v>552</v>
      </c>
      <c r="B84" s="1" t="s">
        <v>159</v>
      </c>
      <c r="C84" s="1" t="s">
        <v>180</v>
      </c>
      <c r="D84" s="1" t="s">
        <v>1099</v>
      </c>
      <c r="E84" s="1" t="s">
        <v>164</v>
      </c>
      <c r="F84" s="1" t="s">
        <v>165</v>
      </c>
      <c r="G84" s="1" t="s">
        <v>550</v>
      </c>
      <c r="H84" s="1" t="s">
        <v>551</v>
      </c>
      <c r="I84" s="11">
        <v>0.99</v>
      </c>
    </row>
    <row r="85" spans="1:9" x14ac:dyDescent="0.25">
      <c r="A85" s="1" t="s">
        <v>552</v>
      </c>
      <c r="B85" s="1" t="s">
        <v>166</v>
      </c>
      <c r="C85" s="1" t="s">
        <v>571</v>
      </c>
      <c r="D85" s="1" t="s">
        <v>74</v>
      </c>
      <c r="E85" s="1" t="s">
        <v>160</v>
      </c>
      <c r="F85" s="1" t="s">
        <v>161</v>
      </c>
      <c r="G85" s="1" t="s">
        <v>551</v>
      </c>
      <c r="H85" s="1" t="s">
        <v>550</v>
      </c>
    </row>
    <row r="86" spans="1:9" x14ac:dyDescent="0.25">
      <c r="A86" s="1" t="s">
        <v>552</v>
      </c>
      <c r="B86" s="1" t="s">
        <v>166</v>
      </c>
      <c r="C86" s="1" t="s">
        <v>571</v>
      </c>
      <c r="D86" s="1" t="s">
        <v>1099</v>
      </c>
      <c r="E86" s="1" t="s">
        <v>162</v>
      </c>
      <c r="F86" s="1" t="s">
        <v>163</v>
      </c>
      <c r="G86" s="1" t="s">
        <v>550</v>
      </c>
      <c r="H86" s="1" t="s">
        <v>551</v>
      </c>
      <c r="I86" s="11">
        <v>1E-4</v>
      </c>
    </row>
    <row r="87" spans="1:9" x14ac:dyDescent="0.25">
      <c r="A87" s="1" t="s">
        <v>552</v>
      </c>
      <c r="B87" s="1" t="s">
        <v>166</v>
      </c>
      <c r="C87" s="1" t="s">
        <v>571</v>
      </c>
      <c r="D87" s="1" t="s">
        <v>1099</v>
      </c>
      <c r="E87" s="1" t="s">
        <v>164</v>
      </c>
      <c r="F87" s="1" t="s">
        <v>165</v>
      </c>
      <c r="G87" s="1" t="s">
        <v>550</v>
      </c>
      <c r="H87" s="1" t="s">
        <v>551</v>
      </c>
      <c r="I87" s="11">
        <v>0.99990000000000001</v>
      </c>
    </row>
    <row r="88" spans="1:9" x14ac:dyDescent="0.25">
      <c r="A88" s="1" t="s">
        <v>552</v>
      </c>
      <c r="B88" s="1" t="s">
        <v>167</v>
      </c>
      <c r="C88" s="1" t="s">
        <v>572</v>
      </c>
      <c r="D88" s="1" t="s">
        <v>74</v>
      </c>
      <c r="E88" s="1" t="s">
        <v>160</v>
      </c>
      <c r="F88" s="1" t="s">
        <v>161</v>
      </c>
      <c r="G88" s="1" t="s">
        <v>551</v>
      </c>
      <c r="H88" s="1" t="s">
        <v>550</v>
      </c>
    </row>
    <row r="89" spans="1:9" x14ac:dyDescent="0.25">
      <c r="A89" s="1" t="s">
        <v>552</v>
      </c>
      <c r="B89" s="1" t="s">
        <v>167</v>
      </c>
      <c r="C89" s="1" t="s">
        <v>572</v>
      </c>
      <c r="D89" s="1" t="s">
        <v>74</v>
      </c>
      <c r="E89" s="1" t="s">
        <v>168</v>
      </c>
      <c r="F89" s="1" t="s">
        <v>169</v>
      </c>
      <c r="G89" s="1" t="s">
        <v>550</v>
      </c>
      <c r="H89" s="1" t="s">
        <v>551</v>
      </c>
      <c r="I89" s="11">
        <v>1.35E-2</v>
      </c>
    </row>
    <row r="90" spans="1:9" x14ac:dyDescent="0.25">
      <c r="A90" s="1" t="s">
        <v>552</v>
      </c>
      <c r="B90" s="1" t="s">
        <v>167</v>
      </c>
      <c r="C90" s="1" t="s">
        <v>572</v>
      </c>
      <c r="D90" s="1" t="s">
        <v>1099</v>
      </c>
      <c r="E90" s="1" t="s">
        <v>170</v>
      </c>
      <c r="F90" s="1" t="s">
        <v>171</v>
      </c>
      <c r="G90" s="1" t="s">
        <v>550</v>
      </c>
      <c r="H90" s="1" t="s">
        <v>551</v>
      </c>
      <c r="I90" s="11">
        <v>4.0599999999999997E-2</v>
      </c>
    </row>
    <row r="91" spans="1:9" x14ac:dyDescent="0.25">
      <c r="A91" s="1" t="s">
        <v>552</v>
      </c>
      <c r="B91" s="1" t="s">
        <v>167</v>
      </c>
      <c r="C91" s="1" t="s">
        <v>572</v>
      </c>
      <c r="D91" s="1" t="s">
        <v>1099</v>
      </c>
      <c r="E91" s="1" t="s">
        <v>172</v>
      </c>
      <c r="F91" s="1" t="s">
        <v>173</v>
      </c>
      <c r="G91" s="1" t="s">
        <v>550</v>
      </c>
      <c r="H91" s="1" t="s">
        <v>551</v>
      </c>
      <c r="I91" s="11">
        <v>0.11119999999999999</v>
      </c>
    </row>
    <row r="92" spans="1:9" x14ac:dyDescent="0.25">
      <c r="A92" s="1" t="s">
        <v>552</v>
      </c>
      <c r="B92" s="1" t="s">
        <v>167</v>
      </c>
      <c r="C92" s="1" t="s">
        <v>572</v>
      </c>
      <c r="D92" s="1" t="s">
        <v>1099</v>
      </c>
      <c r="E92" s="1" t="s">
        <v>174</v>
      </c>
      <c r="F92" s="1" t="s">
        <v>175</v>
      </c>
      <c r="G92" s="1" t="s">
        <v>550</v>
      </c>
      <c r="H92" s="1" t="s">
        <v>551</v>
      </c>
      <c r="I92" s="11">
        <v>0.16439999999999999</v>
      </c>
    </row>
    <row r="93" spans="1:9" x14ac:dyDescent="0.25">
      <c r="A93" s="1" t="s">
        <v>552</v>
      </c>
      <c r="B93" s="1" t="s">
        <v>167</v>
      </c>
      <c r="C93" s="1" t="s">
        <v>572</v>
      </c>
      <c r="D93" s="1" t="s">
        <v>1099</v>
      </c>
      <c r="E93" s="1" t="s">
        <v>176</v>
      </c>
      <c r="F93" s="1" t="s">
        <v>177</v>
      </c>
      <c r="G93" s="1" t="s">
        <v>550</v>
      </c>
      <c r="H93" s="1" t="s">
        <v>551</v>
      </c>
      <c r="I93" s="11">
        <v>0.16439999999999999</v>
      </c>
    </row>
    <row r="94" spans="1:9" x14ac:dyDescent="0.25">
      <c r="A94" s="1" t="s">
        <v>552</v>
      </c>
      <c r="B94" s="1" t="s">
        <v>167</v>
      </c>
      <c r="C94" s="1" t="s">
        <v>572</v>
      </c>
      <c r="D94" s="1" t="s">
        <v>1099</v>
      </c>
      <c r="E94" s="1" t="s">
        <v>178</v>
      </c>
      <c r="F94" s="1" t="s">
        <v>179</v>
      </c>
      <c r="G94" s="1" t="s">
        <v>550</v>
      </c>
      <c r="H94" s="1" t="s">
        <v>551</v>
      </c>
      <c r="I94" s="11">
        <v>3.7199999999999997E-2</v>
      </c>
    </row>
    <row r="95" spans="1:9" x14ac:dyDescent="0.25">
      <c r="A95" s="1" t="s">
        <v>552</v>
      </c>
      <c r="B95" s="1" t="s">
        <v>167</v>
      </c>
      <c r="C95" s="1" t="s">
        <v>572</v>
      </c>
      <c r="D95" s="1" t="s">
        <v>1099</v>
      </c>
      <c r="E95" s="1" t="s">
        <v>159</v>
      </c>
      <c r="F95" s="1" t="s">
        <v>180</v>
      </c>
      <c r="G95" s="1" t="s">
        <v>550</v>
      </c>
      <c r="H95" s="1" t="s">
        <v>551</v>
      </c>
      <c r="I95" s="11">
        <v>0.46860000000000002</v>
      </c>
    </row>
    <row r="96" spans="1:9" x14ac:dyDescent="0.25">
      <c r="A96" s="1" t="s">
        <v>552</v>
      </c>
      <c r="B96" s="1" t="s">
        <v>181</v>
      </c>
      <c r="C96" s="1" t="s">
        <v>182</v>
      </c>
      <c r="D96" s="1" t="s">
        <v>74</v>
      </c>
      <c r="E96" s="1" t="s">
        <v>151</v>
      </c>
      <c r="F96" s="1" t="s">
        <v>152</v>
      </c>
      <c r="G96" s="1" t="s">
        <v>551</v>
      </c>
      <c r="H96" s="1" t="s">
        <v>550</v>
      </c>
    </row>
    <row r="97" spans="1:9" x14ac:dyDescent="0.25">
      <c r="A97" s="1" t="s">
        <v>552</v>
      </c>
      <c r="B97" s="1" t="s">
        <v>181</v>
      </c>
      <c r="C97" s="1" t="s">
        <v>182</v>
      </c>
      <c r="D97" s="1" t="s">
        <v>74</v>
      </c>
      <c r="E97" s="1" t="s">
        <v>160</v>
      </c>
      <c r="F97" s="1" t="s">
        <v>161</v>
      </c>
      <c r="G97" s="1" t="s">
        <v>551</v>
      </c>
      <c r="H97" s="1" t="s">
        <v>550</v>
      </c>
    </row>
    <row r="98" spans="1:9" x14ac:dyDescent="0.25">
      <c r="A98" s="1" t="s">
        <v>552</v>
      </c>
      <c r="B98" s="1" t="s">
        <v>181</v>
      </c>
      <c r="C98" s="1" t="s">
        <v>182</v>
      </c>
      <c r="D98" s="1" t="s">
        <v>1099</v>
      </c>
      <c r="E98" s="1" t="s">
        <v>183</v>
      </c>
      <c r="F98" s="1" t="s">
        <v>184</v>
      </c>
      <c r="G98" s="1" t="s">
        <v>550</v>
      </c>
      <c r="H98" s="1" t="s">
        <v>551</v>
      </c>
      <c r="I98" s="11">
        <v>0.25</v>
      </c>
    </row>
    <row r="99" spans="1:9" x14ac:dyDescent="0.25">
      <c r="A99" s="1" t="s">
        <v>552</v>
      </c>
      <c r="B99" s="1" t="s">
        <v>181</v>
      </c>
      <c r="C99" s="1" t="s">
        <v>182</v>
      </c>
      <c r="D99" s="1" t="s">
        <v>1099</v>
      </c>
      <c r="E99" s="1" t="s">
        <v>159</v>
      </c>
      <c r="F99" s="1" t="s">
        <v>180</v>
      </c>
      <c r="G99" s="1" t="s">
        <v>550</v>
      </c>
      <c r="H99" s="1" t="s">
        <v>551</v>
      </c>
      <c r="I99" s="11">
        <v>0.75</v>
      </c>
    </row>
    <row r="100" spans="1:9" x14ac:dyDescent="0.25">
      <c r="A100" s="1" t="s">
        <v>223</v>
      </c>
      <c r="B100" s="1" t="s">
        <v>190</v>
      </c>
      <c r="C100" s="1" t="s">
        <v>191</v>
      </c>
      <c r="D100" s="1" t="s">
        <v>74</v>
      </c>
      <c r="E100" s="1" t="s">
        <v>192</v>
      </c>
      <c r="F100" s="1" t="s">
        <v>193</v>
      </c>
      <c r="G100" s="1" t="s">
        <v>551</v>
      </c>
      <c r="H100" s="1" t="s">
        <v>551</v>
      </c>
      <c r="I100" s="11">
        <v>0.5</v>
      </c>
    </row>
    <row r="101" spans="1:9" x14ac:dyDescent="0.25">
      <c r="A101" s="1" t="s">
        <v>223</v>
      </c>
      <c r="B101" s="1" t="s">
        <v>190</v>
      </c>
      <c r="C101" s="1" t="s">
        <v>191</v>
      </c>
      <c r="D101" s="1" t="s">
        <v>74</v>
      </c>
      <c r="E101" s="1" t="s">
        <v>194</v>
      </c>
      <c r="F101" s="1" t="s">
        <v>195</v>
      </c>
      <c r="G101" s="1" t="s">
        <v>551</v>
      </c>
      <c r="H101" s="1" t="s">
        <v>551</v>
      </c>
      <c r="I101" s="11">
        <v>0.5</v>
      </c>
    </row>
    <row r="102" spans="1:9" x14ac:dyDescent="0.25">
      <c r="A102" s="1" t="s">
        <v>223</v>
      </c>
      <c r="B102" s="1" t="s">
        <v>196</v>
      </c>
      <c r="C102" s="1" t="s">
        <v>197</v>
      </c>
      <c r="D102" s="1" t="s">
        <v>74</v>
      </c>
      <c r="E102" s="1" t="s">
        <v>192</v>
      </c>
      <c r="F102" s="1" t="s">
        <v>193</v>
      </c>
      <c r="G102" s="1" t="s">
        <v>551</v>
      </c>
      <c r="H102" s="1" t="s">
        <v>551</v>
      </c>
      <c r="I102" s="11">
        <v>1.6199999999999999E-2</v>
      </c>
    </row>
    <row r="103" spans="1:9" x14ac:dyDescent="0.25">
      <c r="A103" s="1" t="s">
        <v>223</v>
      </c>
      <c r="B103" s="1" t="s">
        <v>196</v>
      </c>
      <c r="C103" s="1" t="s">
        <v>197</v>
      </c>
      <c r="D103" s="1" t="s">
        <v>74</v>
      </c>
      <c r="E103" s="1" t="s">
        <v>194</v>
      </c>
      <c r="F103" s="1" t="s">
        <v>195</v>
      </c>
      <c r="G103" s="1" t="s">
        <v>550</v>
      </c>
      <c r="H103" s="1" t="s">
        <v>551</v>
      </c>
      <c r="I103" s="11">
        <v>1.6199999999999999E-2</v>
      </c>
    </row>
    <row r="104" spans="1:9" x14ac:dyDescent="0.25">
      <c r="A104" s="1" t="s">
        <v>223</v>
      </c>
      <c r="B104" s="1" t="s">
        <v>196</v>
      </c>
      <c r="C104" s="1" t="s">
        <v>197</v>
      </c>
      <c r="D104" s="1" t="s">
        <v>74</v>
      </c>
      <c r="E104" s="1" t="s">
        <v>198</v>
      </c>
      <c r="F104" s="1" t="s">
        <v>199</v>
      </c>
      <c r="G104" s="1" t="s">
        <v>550</v>
      </c>
      <c r="H104" s="1" t="s">
        <v>551</v>
      </c>
      <c r="I104" s="11">
        <v>0.2419</v>
      </c>
    </row>
    <row r="105" spans="1:9" x14ac:dyDescent="0.25">
      <c r="A105" s="1" t="s">
        <v>223</v>
      </c>
      <c r="B105" s="1" t="s">
        <v>196</v>
      </c>
      <c r="C105" s="1" t="s">
        <v>197</v>
      </c>
      <c r="D105" s="1" t="s">
        <v>74</v>
      </c>
      <c r="E105" s="1" t="s">
        <v>200</v>
      </c>
      <c r="F105" s="1" t="s">
        <v>201</v>
      </c>
      <c r="G105" s="1" t="s">
        <v>550</v>
      </c>
      <c r="H105" s="1" t="s">
        <v>551</v>
      </c>
      <c r="I105" s="11">
        <v>0.2419</v>
      </c>
    </row>
    <row r="106" spans="1:9" x14ac:dyDescent="0.25">
      <c r="A106" s="1" t="s">
        <v>223</v>
      </c>
      <c r="B106" s="1" t="s">
        <v>196</v>
      </c>
      <c r="C106" s="1" t="s">
        <v>197</v>
      </c>
      <c r="D106" s="1" t="s">
        <v>74</v>
      </c>
      <c r="E106" s="1" t="s">
        <v>202</v>
      </c>
      <c r="F106" s="1" t="s">
        <v>203</v>
      </c>
      <c r="G106" s="1" t="s">
        <v>550</v>
      </c>
      <c r="H106" s="1" t="s">
        <v>551</v>
      </c>
      <c r="I106" s="11">
        <v>0.2419</v>
      </c>
    </row>
    <row r="107" spans="1:9" x14ac:dyDescent="0.25">
      <c r="A107" s="1" t="s">
        <v>223</v>
      </c>
      <c r="B107" s="1" t="s">
        <v>196</v>
      </c>
      <c r="C107" s="1" t="s">
        <v>197</v>
      </c>
      <c r="D107" s="1" t="s">
        <v>74</v>
      </c>
      <c r="E107" s="1" t="s">
        <v>204</v>
      </c>
      <c r="F107" s="1" t="s">
        <v>205</v>
      </c>
      <c r="G107" s="1" t="s">
        <v>550</v>
      </c>
      <c r="H107" s="1" t="s">
        <v>551</v>
      </c>
      <c r="I107" s="11">
        <v>0.2419</v>
      </c>
    </row>
    <row r="108" spans="1:9" x14ac:dyDescent="0.25">
      <c r="A108" s="1" t="s">
        <v>223</v>
      </c>
      <c r="B108" s="1" t="s">
        <v>206</v>
      </c>
      <c r="C108" s="1" t="s">
        <v>207</v>
      </c>
      <c r="D108" s="1" t="s">
        <v>74</v>
      </c>
      <c r="E108" s="1" t="s">
        <v>192</v>
      </c>
      <c r="F108" s="1" t="s">
        <v>193</v>
      </c>
      <c r="G108" s="1" t="s">
        <v>551</v>
      </c>
      <c r="H108" s="1" t="s">
        <v>551</v>
      </c>
      <c r="I108" s="11">
        <v>0.1</v>
      </c>
    </row>
    <row r="109" spans="1:9" x14ac:dyDescent="0.25">
      <c r="A109" s="1" t="s">
        <v>223</v>
      </c>
      <c r="B109" s="1" t="s">
        <v>206</v>
      </c>
      <c r="C109" s="1" t="s">
        <v>207</v>
      </c>
      <c r="D109" s="1" t="s">
        <v>74</v>
      </c>
      <c r="E109" s="1" t="s">
        <v>200</v>
      </c>
      <c r="F109" s="1" t="s">
        <v>201</v>
      </c>
      <c r="G109" s="1" t="s">
        <v>551</v>
      </c>
      <c r="H109" s="1" t="s">
        <v>551</v>
      </c>
      <c r="I109" s="11">
        <v>0.9</v>
      </c>
    </row>
    <row r="110" spans="1:9" x14ac:dyDescent="0.25">
      <c r="A110" s="1" t="s">
        <v>223</v>
      </c>
      <c r="B110" s="1" t="s">
        <v>208</v>
      </c>
      <c r="C110" s="1" t="s">
        <v>209</v>
      </c>
      <c r="D110" s="1" t="s">
        <v>74</v>
      </c>
      <c r="E110" s="1" t="s">
        <v>210</v>
      </c>
      <c r="F110" s="1" t="s">
        <v>211</v>
      </c>
      <c r="G110" s="1" t="s">
        <v>550</v>
      </c>
      <c r="H110" s="1" t="s">
        <v>551</v>
      </c>
      <c r="I110" s="11">
        <v>8.3299999999999999E-2</v>
      </c>
    </row>
    <row r="111" spans="1:9" x14ac:dyDescent="0.25">
      <c r="A111" s="1" t="s">
        <v>223</v>
      </c>
      <c r="B111" s="1" t="s">
        <v>208</v>
      </c>
      <c r="C111" s="1" t="s">
        <v>209</v>
      </c>
      <c r="D111" s="1" t="s">
        <v>74</v>
      </c>
      <c r="E111" s="1" t="s">
        <v>212</v>
      </c>
      <c r="F111" s="1" t="s">
        <v>213</v>
      </c>
      <c r="G111" s="1" t="s">
        <v>550</v>
      </c>
      <c r="H111" s="1" t="s">
        <v>551</v>
      </c>
      <c r="I111" s="11">
        <v>8.3299999999999999E-2</v>
      </c>
    </row>
    <row r="112" spans="1:9" x14ac:dyDescent="0.25">
      <c r="A112" s="1" t="s">
        <v>223</v>
      </c>
      <c r="B112" s="1" t="s">
        <v>208</v>
      </c>
      <c r="C112" s="1" t="s">
        <v>209</v>
      </c>
      <c r="D112" s="1" t="s">
        <v>74</v>
      </c>
      <c r="E112" s="1" t="s">
        <v>198</v>
      </c>
      <c r="F112" s="1" t="s">
        <v>199</v>
      </c>
      <c r="G112" s="1" t="s">
        <v>550</v>
      </c>
      <c r="H112" s="1" t="s">
        <v>551</v>
      </c>
      <c r="I112" s="11">
        <v>3.3300000000000003E-2</v>
      </c>
    </row>
    <row r="113" spans="1:9" x14ac:dyDescent="0.25">
      <c r="A113" s="1" t="s">
        <v>223</v>
      </c>
      <c r="B113" s="1" t="s">
        <v>208</v>
      </c>
      <c r="C113" s="1" t="s">
        <v>209</v>
      </c>
      <c r="D113" s="1" t="s">
        <v>74</v>
      </c>
      <c r="E113" s="1" t="s">
        <v>200</v>
      </c>
      <c r="F113" s="1" t="s">
        <v>201</v>
      </c>
      <c r="G113" s="1" t="s">
        <v>551</v>
      </c>
      <c r="H113" s="1" t="s">
        <v>551</v>
      </c>
      <c r="I113" s="11">
        <v>0.3417</v>
      </c>
    </row>
    <row r="114" spans="1:9" x14ac:dyDescent="0.25">
      <c r="A114" s="1" t="s">
        <v>223</v>
      </c>
      <c r="B114" s="1" t="s">
        <v>208</v>
      </c>
      <c r="C114" s="1" t="s">
        <v>209</v>
      </c>
      <c r="D114" s="1" t="s">
        <v>74</v>
      </c>
      <c r="E114" s="1" t="s">
        <v>202</v>
      </c>
      <c r="F114" s="1" t="s">
        <v>203</v>
      </c>
      <c r="G114" s="1" t="s">
        <v>550</v>
      </c>
      <c r="H114" s="1" t="s">
        <v>551</v>
      </c>
      <c r="I114" s="11">
        <v>3.3300000000000003E-2</v>
      </c>
    </row>
    <row r="115" spans="1:9" x14ac:dyDescent="0.25">
      <c r="A115" s="1" t="s">
        <v>223</v>
      </c>
      <c r="B115" s="1" t="s">
        <v>208</v>
      </c>
      <c r="C115" s="1" t="s">
        <v>209</v>
      </c>
      <c r="D115" s="1" t="s">
        <v>74</v>
      </c>
      <c r="E115" s="1" t="s">
        <v>204</v>
      </c>
      <c r="F115" s="1" t="s">
        <v>205</v>
      </c>
      <c r="G115" s="1" t="s">
        <v>550</v>
      </c>
      <c r="H115" s="1" t="s">
        <v>551</v>
      </c>
      <c r="I115" s="11">
        <v>3.3300000000000003E-2</v>
      </c>
    </row>
    <row r="116" spans="1:9" x14ac:dyDescent="0.25">
      <c r="A116" s="1" t="s">
        <v>223</v>
      </c>
      <c r="B116" s="1" t="s">
        <v>208</v>
      </c>
      <c r="C116" s="1" t="s">
        <v>209</v>
      </c>
      <c r="D116" s="1" t="s">
        <v>74</v>
      </c>
      <c r="E116" s="1" t="s">
        <v>214</v>
      </c>
      <c r="F116" s="1" t="s">
        <v>215</v>
      </c>
      <c r="G116" s="1" t="s">
        <v>550</v>
      </c>
      <c r="H116" s="1" t="s">
        <v>551</v>
      </c>
      <c r="I116" s="11">
        <v>0.39169999999999999</v>
      </c>
    </row>
    <row r="117" spans="1:9" x14ac:dyDescent="0.25">
      <c r="A117" s="1" t="s">
        <v>223</v>
      </c>
      <c r="B117" s="1" t="s">
        <v>216</v>
      </c>
      <c r="C117" s="1" t="s">
        <v>217</v>
      </c>
      <c r="D117" s="1" t="s">
        <v>74</v>
      </c>
      <c r="E117" s="1" t="s">
        <v>192</v>
      </c>
      <c r="F117" s="1" t="s">
        <v>193</v>
      </c>
      <c r="G117" s="1" t="s">
        <v>551</v>
      </c>
      <c r="H117" s="1" t="s">
        <v>551</v>
      </c>
      <c r="I117" s="11">
        <v>0.05</v>
      </c>
    </row>
    <row r="118" spans="1:9" x14ac:dyDescent="0.25">
      <c r="A118" s="1" t="s">
        <v>223</v>
      </c>
      <c r="B118" s="1" t="s">
        <v>216</v>
      </c>
      <c r="C118" s="1" t="s">
        <v>217</v>
      </c>
      <c r="D118" s="1" t="s">
        <v>74</v>
      </c>
      <c r="E118" s="1" t="s">
        <v>194</v>
      </c>
      <c r="F118" s="1" t="s">
        <v>195</v>
      </c>
      <c r="G118" s="1" t="s">
        <v>551</v>
      </c>
      <c r="H118" s="1" t="s">
        <v>551</v>
      </c>
      <c r="I118" s="11">
        <v>0.05</v>
      </c>
    </row>
    <row r="119" spans="1:9" x14ac:dyDescent="0.25">
      <c r="A119" s="1" t="s">
        <v>223</v>
      </c>
      <c r="B119" s="1" t="s">
        <v>216</v>
      </c>
      <c r="C119" s="1" t="s">
        <v>217</v>
      </c>
      <c r="D119" s="1" t="s">
        <v>1099</v>
      </c>
      <c r="E119" s="1" t="s">
        <v>196</v>
      </c>
      <c r="F119" s="1" t="s">
        <v>197</v>
      </c>
      <c r="G119" s="1" t="s">
        <v>550</v>
      </c>
      <c r="H119" s="1" t="s">
        <v>551</v>
      </c>
      <c r="I119" s="11">
        <v>0.9</v>
      </c>
    </row>
    <row r="120" spans="1:9" x14ac:dyDescent="0.25">
      <c r="A120" s="1" t="s">
        <v>242</v>
      </c>
      <c r="B120" s="1" t="s">
        <v>224</v>
      </c>
      <c r="C120" s="1" t="s">
        <v>225</v>
      </c>
      <c r="D120" s="1" t="s">
        <v>74</v>
      </c>
      <c r="E120" s="1" t="s">
        <v>212</v>
      </c>
      <c r="F120" s="1" t="s">
        <v>213</v>
      </c>
      <c r="G120" s="1" t="s">
        <v>551</v>
      </c>
      <c r="H120" s="1" t="s">
        <v>550</v>
      </c>
    </row>
    <row r="121" spans="1:9" x14ac:dyDescent="0.25">
      <c r="A121" s="1" t="s">
        <v>242</v>
      </c>
      <c r="B121" s="1" t="s">
        <v>224</v>
      </c>
      <c r="C121" s="1" t="s">
        <v>225</v>
      </c>
      <c r="D121" s="1" t="s">
        <v>1099</v>
      </c>
      <c r="E121" s="1" t="s">
        <v>226</v>
      </c>
      <c r="F121" s="1" t="s">
        <v>227</v>
      </c>
      <c r="G121" s="1" t="s">
        <v>550</v>
      </c>
      <c r="H121" s="1" t="s">
        <v>551</v>
      </c>
      <c r="I121" s="11">
        <v>0.01</v>
      </c>
    </row>
    <row r="122" spans="1:9" x14ac:dyDescent="0.25">
      <c r="A122" s="1" t="s">
        <v>242</v>
      </c>
      <c r="B122" s="1" t="s">
        <v>224</v>
      </c>
      <c r="C122" s="1" t="s">
        <v>225</v>
      </c>
      <c r="D122" s="1" t="s">
        <v>1099</v>
      </c>
      <c r="E122" s="1" t="s">
        <v>228</v>
      </c>
      <c r="F122" s="1" t="s">
        <v>229</v>
      </c>
      <c r="G122" s="1" t="s">
        <v>550</v>
      </c>
      <c r="H122" s="1" t="s">
        <v>551</v>
      </c>
      <c r="I122" s="11">
        <v>0.99</v>
      </c>
    </row>
    <row r="123" spans="1:9" x14ac:dyDescent="0.25">
      <c r="A123" s="1" t="s">
        <v>242</v>
      </c>
      <c r="B123" s="1" t="s">
        <v>230</v>
      </c>
      <c r="C123" s="1" t="s">
        <v>231</v>
      </c>
      <c r="D123" s="1" t="s">
        <v>74</v>
      </c>
      <c r="E123" s="1" t="s">
        <v>212</v>
      </c>
      <c r="F123" s="1" t="s">
        <v>213</v>
      </c>
      <c r="G123" s="1" t="s">
        <v>551</v>
      </c>
      <c r="H123" s="1" t="s">
        <v>551</v>
      </c>
      <c r="I123" s="11">
        <v>0.69869999999999999</v>
      </c>
    </row>
    <row r="124" spans="1:9" x14ac:dyDescent="0.25">
      <c r="A124" s="1" t="s">
        <v>242</v>
      </c>
      <c r="B124" s="1" t="s">
        <v>230</v>
      </c>
      <c r="C124" s="1" t="s">
        <v>231</v>
      </c>
      <c r="D124" s="1" t="s">
        <v>74</v>
      </c>
      <c r="E124" s="1" t="s">
        <v>232</v>
      </c>
      <c r="F124" s="1" t="s">
        <v>233</v>
      </c>
      <c r="G124" s="1" t="s">
        <v>550</v>
      </c>
      <c r="H124" s="1" t="s">
        <v>551</v>
      </c>
      <c r="I124" s="11">
        <v>1.1000000000000001E-3</v>
      </c>
    </row>
    <row r="125" spans="1:9" x14ac:dyDescent="0.25">
      <c r="A125" s="1" t="s">
        <v>242</v>
      </c>
      <c r="B125" s="1" t="s">
        <v>230</v>
      </c>
      <c r="C125" s="1" t="s">
        <v>231</v>
      </c>
      <c r="D125" s="1" t="s">
        <v>1099</v>
      </c>
      <c r="E125" s="1" t="s">
        <v>224</v>
      </c>
      <c r="F125" s="1" t="s">
        <v>225</v>
      </c>
      <c r="G125" s="1" t="s">
        <v>550</v>
      </c>
      <c r="H125" s="1" t="s">
        <v>551</v>
      </c>
      <c r="I125" s="11">
        <v>0.3</v>
      </c>
    </row>
    <row r="126" spans="1:9" x14ac:dyDescent="0.25">
      <c r="A126" s="1" t="s">
        <v>242</v>
      </c>
      <c r="B126" s="1" t="s">
        <v>230</v>
      </c>
      <c r="C126" s="1" t="s">
        <v>231</v>
      </c>
      <c r="D126" s="1" t="s">
        <v>1099</v>
      </c>
      <c r="E126" s="1" t="s">
        <v>226</v>
      </c>
      <c r="F126" s="1" t="s">
        <v>227</v>
      </c>
      <c r="G126" s="1" t="s">
        <v>550</v>
      </c>
      <c r="H126" s="1" t="s">
        <v>551</v>
      </c>
      <c r="I126" s="11">
        <v>2.9999999999999997E-4</v>
      </c>
    </row>
    <row r="127" spans="1:9" x14ac:dyDescent="0.25">
      <c r="A127" s="1" t="s">
        <v>242</v>
      </c>
      <c r="B127" s="1" t="s">
        <v>228</v>
      </c>
      <c r="C127" s="1" t="s">
        <v>229</v>
      </c>
      <c r="D127" s="1" t="s">
        <v>74</v>
      </c>
      <c r="E127" s="1" t="s">
        <v>212</v>
      </c>
      <c r="F127" s="1" t="s">
        <v>213</v>
      </c>
      <c r="G127" s="1" t="s">
        <v>551</v>
      </c>
      <c r="H127" s="1" t="s">
        <v>550</v>
      </c>
    </row>
    <row r="128" spans="1:9" x14ac:dyDescent="0.25">
      <c r="A128" s="1" t="s">
        <v>242</v>
      </c>
      <c r="B128" s="1" t="s">
        <v>228</v>
      </c>
      <c r="C128" s="1" t="s">
        <v>229</v>
      </c>
      <c r="D128" s="1" t="s">
        <v>74</v>
      </c>
      <c r="E128" s="1" t="s">
        <v>234</v>
      </c>
      <c r="F128" s="1" t="s">
        <v>235</v>
      </c>
      <c r="G128" s="1" t="s">
        <v>550</v>
      </c>
      <c r="H128" s="1" t="s">
        <v>551</v>
      </c>
      <c r="I128" s="11">
        <v>0.2475</v>
      </c>
    </row>
    <row r="129" spans="1:9" x14ac:dyDescent="0.25">
      <c r="A129" s="1" t="s">
        <v>242</v>
      </c>
      <c r="B129" s="1" t="s">
        <v>228</v>
      </c>
      <c r="C129" s="1" t="s">
        <v>229</v>
      </c>
      <c r="D129" s="1" t="s">
        <v>74</v>
      </c>
      <c r="E129" s="1" t="s">
        <v>236</v>
      </c>
      <c r="F129" s="1" t="s">
        <v>237</v>
      </c>
      <c r="G129" s="1" t="s">
        <v>550</v>
      </c>
      <c r="H129" s="1" t="s">
        <v>551</v>
      </c>
      <c r="I129" s="11">
        <v>0.2475</v>
      </c>
    </row>
    <row r="130" spans="1:9" x14ac:dyDescent="0.25">
      <c r="A130" s="1" t="s">
        <v>242</v>
      </c>
      <c r="B130" s="1" t="s">
        <v>228</v>
      </c>
      <c r="C130" s="1" t="s">
        <v>229</v>
      </c>
      <c r="D130" s="1" t="s">
        <v>74</v>
      </c>
      <c r="E130" s="1" t="s">
        <v>238</v>
      </c>
      <c r="F130" s="1" t="s">
        <v>239</v>
      </c>
      <c r="G130" s="1" t="s">
        <v>550</v>
      </c>
      <c r="H130" s="1" t="s">
        <v>551</v>
      </c>
      <c r="I130" s="11">
        <v>0.2475</v>
      </c>
    </row>
    <row r="131" spans="1:9" x14ac:dyDescent="0.25">
      <c r="A131" s="1" t="s">
        <v>242</v>
      </c>
      <c r="B131" s="1" t="s">
        <v>228</v>
      </c>
      <c r="C131" s="1" t="s">
        <v>229</v>
      </c>
      <c r="D131" s="1" t="s">
        <v>74</v>
      </c>
      <c r="E131" s="1" t="s">
        <v>240</v>
      </c>
      <c r="F131" s="1" t="s">
        <v>241</v>
      </c>
      <c r="G131" s="1" t="s">
        <v>550</v>
      </c>
      <c r="H131" s="1" t="s">
        <v>551</v>
      </c>
      <c r="I131" s="11">
        <v>0.2475</v>
      </c>
    </row>
    <row r="132" spans="1:9" x14ac:dyDescent="0.25">
      <c r="A132" s="1" t="s">
        <v>242</v>
      </c>
      <c r="B132" s="1" t="s">
        <v>228</v>
      </c>
      <c r="C132" s="1" t="s">
        <v>229</v>
      </c>
      <c r="D132" s="1" t="s">
        <v>1099</v>
      </c>
      <c r="E132" s="1" t="s">
        <v>226</v>
      </c>
      <c r="F132" s="1" t="s">
        <v>227</v>
      </c>
      <c r="G132" s="1" t="s">
        <v>550</v>
      </c>
      <c r="H132" s="1" t="s">
        <v>551</v>
      </c>
      <c r="I132" s="11">
        <v>0.01</v>
      </c>
    </row>
    <row r="133" spans="1:9" x14ac:dyDescent="0.25">
      <c r="A133" s="1" t="s">
        <v>242</v>
      </c>
      <c r="B133" s="1" t="s">
        <v>226</v>
      </c>
      <c r="C133" s="1" t="s">
        <v>227</v>
      </c>
      <c r="D133" s="1" t="s">
        <v>74</v>
      </c>
      <c r="E133" s="1" t="s">
        <v>212</v>
      </c>
      <c r="F133" s="1" t="s">
        <v>213</v>
      </c>
      <c r="G133" s="1" t="s">
        <v>551</v>
      </c>
      <c r="H133" s="1" t="s">
        <v>551</v>
      </c>
      <c r="I133" s="11">
        <v>0.5</v>
      </c>
    </row>
    <row r="134" spans="1:9" x14ac:dyDescent="0.25">
      <c r="A134" s="1" t="s">
        <v>242</v>
      </c>
      <c r="B134" s="1" t="s">
        <v>226</v>
      </c>
      <c r="C134" s="1" t="s">
        <v>227</v>
      </c>
      <c r="D134" s="1" t="s">
        <v>74</v>
      </c>
      <c r="E134" s="1" t="s">
        <v>232</v>
      </c>
      <c r="F134" s="1" t="s">
        <v>233</v>
      </c>
      <c r="G134" s="1" t="s">
        <v>550</v>
      </c>
      <c r="H134" s="1" t="s">
        <v>551</v>
      </c>
      <c r="I134" s="11">
        <v>0.5</v>
      </c>
    </row>
    <row r="135" spans="1:9" x14ac:dyDescent="0.25">
      <c r="A135" s="1" t="s">
        <v>516</v>
      </c>
      <c r="B135" s="1" t="s">
        <v>245</v>
      </c>
      <c r="C135" s="1" t="s">
        <v>246</v>
      </c>
      <c r="D135" s="1" t="s">
        <v>74</v>
      </c>
      <c r="E135" s="1" t="s">
        <v>247</v>
      </c>
      <c r="F135" s="1" t="s">
        <v>248</v>
      </c>
      <c r="G135" s="1" t="s">
        <v>551</v>
      </c>
      <c r="H135" s="1" t="s">
        <v>551</v>
      </c>
      <c r="I135" s="11">
        <v>0.9</v>
      </c>
    </row>
    <row r="136" spans="1:9" x14ac:dyDescent="0.25">
      <c r="A136" s="1" t="s">
        <v>516</v>
      </c>
      <c r="B136" s="1" t="s">
        <v>245</v>
      </c>
      <c r="C136" s="1" t="s">
        <v>246</v>
      </c>
      <c r="D136" s="1" t="s">
        <v>74</v>
      </c>
      <c r="E136" s="1" t="s">
        <v>249</v>
      </c>
      <c r="F136" s="1" t="s">
        <v>250</v>
      </c>
      <c r="G136" s="1" t="s">
        <v>550</v>
      </c>
      <c r="H136" s="1" t="s">
        <v>551</v>
      </c>
      <c r="I136" s="11">
        <v>0.05</v>
      </c>
    </row>
    <row r="137" spans="1:9" x14ac:dyDescent="0.25">
      <c r="A137" s="1" t="s">
        <v>516</v>
      </c>
      <c r="B137" s="1" t="s">
        <v>245</v>
      </c>
      <c r="C137" s="1" t="s">
        <v>246</v>
      </c>
      <c r="D137" s="1" t="s">
        <v>74</v>
      </c>
      <c r="E137" s="1" t="s">
        <v>251</v>
      </c>
      <c r="F137" s="1" t="s">
        <v>252</v>
      </c>
      <c r="G137" s="1" t="s">
        <v>550</v>
      </c>
      <c r="H137" s="1" t="s">
        <v>551</v>
      </c>
      <c r="I137" s="11">
        <v>0.05</v>
      </c>
    </row>
    <row r="138" spans="1:9" x14ac:dyDescent="0.25">
      <c r="A138" s="1" t="s">
        <v>516</v>
      </c>
      <c r="B138" s="1" t="s">
        <v>253</v>
      </c>
      <c r="C138" s="1" t="s">
        <v>254</v>
      </c>
      <c r="D138" s="1" t="s">
        <v>74</v>
      </c>
      <c r="E138" s="1" t="s">
        <v>249</v>
      </c>
      <c r="F138" s="1" t="s">
        <v>250</v>
      </c>
      <c r="G138" s="1" t="s">
        <v>551</v>
      </c>
      <c r="H138" s="1" t="s">
        <v>551</v>
      </c>
      <c r="I138" s="11">
        <v>0.5</v>
      </c>
    </row>
    <row r="139" spans="1:9" x14ac:dyDescent="0.25">
      <c r="A139" s="1" t="s">
        <v>516</v>
      </c>
      <c r="B139" s="1" t="s">
        <v>253</v>
      </c>
      <c r="C139" s="1" t="s">
        <v>254</v>
      </c>
      <c r="D139" s="1" t="s">
        <v>74</v>
      </c>
      <c r="E139" s="1" t="s">
        <v>251</v>
      </c>
      <c r="F139" s="1" t="s">
        <v>252</v>
      </c>
      <c r="G139" s="1" t="s">
        <v>551</v>
      </c>
      <c r="H139" s="1" t="s">
        <v>551</v>
      </c>
      <c r="I139" s="11">
        <v>0.5</v>
      </c>
    </row>
    <row r="140" spans="1:9" x14ac:dyDescent="0.25">
      <c r="A140" s="1" t="s">
        <v>516</v>
      </c>
      <c r="B140" s="1" t="s">
        <v>255</v>
      </c>
      <c r="C140" s="1" t="s">
        <v>256</v>
      </c>
      <c r="D140" s="1" t="s">
        <v>74</v>
      </c>
      <c r="E140" s="1" t="s">
        <v>247</v>
      </c>
      <c r="F140" s="1" t="s">
        <v>248</v>
      </c>
      <c r="G140" s="1" t="s">
        <v>551</v>
      </c>
      <c r="H140" s="1" t="s">
        <v>551</v>
      </c>
      <c r="I140" s="11">
        <v>8.8000000000000005E-3</v>
      </c>
    </row>
    <row r="141" spans="1:9" x14ac:dyDescent="0.25">
      <c r="A141" s="1" t="s">
        <v>516</v>
      </c>
      <c r="B141" s="1" t="s">
        <v>255</v>
      </c>
      <c r="C141" s="1" t="s">
        <v>256</v>
      </c>
      <c r="D141" s="1" t="s">
        <v>1099</v>
      </c>
      <c r="E141" s="1" t="s">
        <v>257</v>
      </c>
      <c r="F141" s="1" t="s">
        <v>258</v>
      </c>
      <c r="G141" s="1" t="s">
        <v>550</v>
      </c>
      <c r="H141" s="1" t="s">
        <v>551</v>
      </c>
      <c r="I141" s="11">
        <v>3.8E-3</v>
      </c>
    </row>
    <row r="142" spans="1:9" x14ac:dyDescent="0.25">
      <c r="A142" s="1" t="s">
        <v>516</v>
      </c>
      <c r="B142" s="1" t="s">
        <v>255</v>
      </c>
      <c r="C142" s="1" t="s">
        <v>256</v>
      </c>
      <c r="D142" s="1" t="s">
        <v>1099</v>
      </c>
      <c r="E142" s="1" t="s">
        <v>253</v>
      </c>
      <c r="F142" s="1" t="s">
        <v>254</v>
      </c>
      <c r="G142" s="1" t="s">
        <v>550</v>
      </c>
      <c r="H142" s="1" t="s">
        <v>551</v>
      </c>
      <c r="I142" s="11">
        <v>0.98750000000000004</v>
      </c>
    </row>
    <row r="143" spans="1:9" x14ac:dyDescent="0.25">
      <c r="A143" s="1" t="s">
        <v>516</v>
      </c>
      <c r="B143" s="1" t="s">
        <v>257</v>
      </c>
      <c r="C143" s="1" t="s">
        <v>258</v>
      </c>
      <c r="D143" s="1" t="s">
        <v>74</v>
      </c>
      <c r="E143" s="1" t="s">
        <v>247</v>
      </c>
      <c r="F143" s="1" t="s">
        <v>248</v>
      </c>
      <c r="G143" s="1" t="s">
        <v>551</v>
      </c>
      <c r="H143" s="1" t="s">
        <v>551</v>
      </c>
      <c r="I143" s="11">
        <v>0.5</v>
      </c>
    </row>
    <row r="144" spans="1:9" x14ac:dyDescent="0.25">
      <c r="A144" s="1" t="s">
        <v>516</v>
      </c>
      <c r="B144" s="1" t="s">
        <v>257</v>
      </c>
      <c r="C144" s="1" t="s">
        <v>258</v>
      </c>
      <c r="D144" s="1" t="s">
        <v>74</v>
      </c>
      <c r="E144" s="1" t="s">
        <v>259</v>
      </c>
      <c r="F144" s="1" t="s">
        <v>260</v>
      </c>
      <c r="G144" s="1" t="s">
        <v>550</v>
      </c>
      <c r="H144" s="1" t="s">
        <v>551</v>
      </c>
      <c r="I144" s="11">
        <v>0.5</v>
      </c>
    </row>
    <row r="145" spans="1:9" x14ac:dyDescent="0.25">
      <c r="A145" s="1" t="s">
        <v>524</v>
      </c>
      <c r="B145" s="1" t="s">
        <v>517</v>
      </c>
      <c r="C145" s="1" t="s">
        <v>261</v>
      </c>
      <c r="D145" s="1" t="s">
        <v>74</v>
      </c>
      <c r="E145" s="1" t="s">
        <v>262</v>
      </c>
      <c r="F145" s="1" t="s">
        <v>263</v>
      </c>
      <c r="G145" s="1" t="s">
        <v>551</v>
      </c>
      <c r="H145" s="1" t="s">
        <v>551</v>
      </c>
      <c r="I145" s="11">
        <v>1</v>
      </c>
    </row>
    <row r="146" spans="1:9" x14ac:dyDescent="0.25">
      <c r="A146" s="1" t="s">
        <v>524</v>
      </c>
      <c r="B146" s="1" t="s">
        <v>264</v>
      </c>
      <c r="C146" s="1" t="s">
        <v>265</v>
      </c>
      <c r="D146" s="1" t="s">
        <v>74</v>
      </c>
      <c r="E146" s="1" t="s">
        <v>262</v>
      </c>
      <c r="F146" s="1" t="s">
        <v>263</v>
      </c>
      <c r="G146" s="1" t="s">
        <v>551</v>
      </c>
      <c r="H146" s="1" t="s">
        <v>551</v>
      </c>
      <c r="I146" s="11">
        <v>1</v>
      </c>
    </row>
    <row r="147" spans="1:9" x14ac:dyDescent="0.25">
      <c r="A147" s="1" t="s">
        <v>524</v>
      </c>
      <c r="B147" s="1" t="s">
        <v>262</v>
      </c>
      <c r="C147" s="1" t="s">
        <v>263</v>
      </c>
      <c r="D147" s="1" t="s">
        <v>74</v>
      </c>
      <c r="E147" s="1" t="s">
        <v>262</v>
      </c>
      <c r="F147" s="1" t="s">
        <v>263</v>
      </c>
      <c r="G147" s="1" t="s">
        <v>551</v>
      </c>
      <c r="H147" s="1" t="s">
        <v>551</v>
      </c>
      <c r="I147" s="11">
        <v>1</v>
      </c>
    </row>
    <row r="148" spans="1:9" x14ac:dyDescent="0.25">
      <c r="A148" s="1" t="s">
        <v>525</v>
      </c>
      <c r="B148" s="1" t="s">
        <v>266</v>
      </c>
      <c r="C148" s="1" t="s">
        <v>267</v>
      </c>
      <c r="D148" s="1" t="s">
        <v>74</v>
      </c>
      <c r="E148" s="1" t="s">
        <v>268</v>
      </c>
      <c r="F148" s="1" t="s">
        <v>269</v>
      </c>
      <c r="G148" s="1" t="s">
        <v>551</v>
      </c>
      <c r="H148" s="1" t="s">
        <v>551</v>
      </c>
      <c r="I148" s="11">
        <v>0.1</v>
      </c>
    </row>
    <row r="149" spans="1:9" x14ac:dyDescent="0.25">
      <c r="A149" s="1" t="s">
        <v>525</v>
      </c>
      <c r="B149" s="1" t="s">
        <v>266</v>
      </c>
      <c r="C149" s="1" t="s">
        <v>267</v>
      </c>
      <c r="D149" s="1" t="s">
        <v>74</v>
      </c>
      <c r="E149" s="1" t="s">
        <v>270</v>
      </c>
      <c r="F149" s="1" t="s">
        <v>271</v>
      </c>
      <c r="G149" s="1" t="s">
        <v>551</v>
      </c>
      <c r="H149" s="1" t="s">
        <v>551</v>
      </c>
      <c r="I149" s="11">
        <v>0.1</v>
      </c>
    </row>
    <row r="150" spans="1:9" x14ac:dyDescent="0.25">
      <c r="A150" s="1" t="s">
        <v>525</v>
      </c>
      <c r="B150" s="1" t="s">
        <v>266</v>
      </c>
      <c r="C150" s="1" t="s">
        <v>267</v>
      </c>
      <c r="D150" s="1" t="s">
        <v>74</v>
      </c>
      <c r="E150" s="1" t="s">
        <v>272</v>
      </c>
      <c r="F150" s="1" t="s">
        <v>273</v>
      </c>
      <c r="G150" s="1" t="s">
        <v>550</v>
      </c>
      <c r="H150" s="1" t="s">
        <v>551</v>
      </c>
      <c r="I150" s="11">
        <v>0.1333</v>
      </c>
    </row>
    <row r="151" spans="1:9" x14ac:dyDescent="0.25">
      <c r="A151" s="1" t="s">
        <v>525</v>
      </c>
      <c r="B151" s="1" t="s">
        <v>266</v>
      </c>
      <c r="C151" s="1" t="s">
        <v>267</v>
      </c>
      <c r="D151" s="1" t="s">
        <v>74</v>
      </c>
      <c r="E151" s="1" t="s">
        <v>274</v>
      </c>
      <c r="F151" s="1" t="s">
        <v>275</v>
      </c>
      <c r="G151" s="1" t="s">
        <v>550</v>
      </c>
      <c r="H151" s="1" t="s">
        <v>551</v>
      </c>
      <c r="I151" s="11">
        <v>0.1333</v>
      </c>
    </row>
    <row r="152" spans="1:9" x14ac:dyDescent="0.25">
      <c r="A152" s="1" t="s">
        <v>525</v>
      </c>
      <c r="B152" s="1" t="s">
        <v>266</v>
      </c>
      <c r="C152" s="1" t="s">
        <v>267</v>
      </c>
      <c r="D152" s="1" t="s">
        <v>74</v>
      </c>
      <c r="E152" s="1" t="s">
        <v>276</v>
      </c>
      <c r="F152" s="1" t="s">
        <v>277</v>
      </c>
      <c r="G152" s="1" t="s">
        <v>550</v>
      </c>
      <c r="H152" s="1" t="s">
        <v>551</v>
      </c>
      <c r="I152" s="11">
        <v>0.1333</v>
      </c>
    </row>
    <row r="153" spans="1:9" x14ac:dyDescent="0.25">
      <c r="A153" s="1" t="s">
        <v>525</v>
      </c>
      <c r="B153" s="1" t="s">
        <v>266</v>
      </c>
      <c r="C153" s="1" t="s">
        <v>267</v>
      </c>
      <c r="D153" s="1" t="s">
        <v>74</v>
      </c>
      <c r="E153" s="1" t="s">
        <v>278</v>
      </c>
      <c r="F153" s="1" t="s">
        <v>279</v>
      </c>
      <c r="G153" s="1" t="s">
        <v>550</v>
      </c>
      <c r="H153" s="1" t="s">
        <v>551</v>
      </c>
      <c r="I153" s="11">
        <v>0.1333</v>
      </c>
    </row>
    <row r="154" spans="1:9" x14ac:dyDescent="0.25">
      <c r="A154" s="1" t="s">
        <v>525</v>
      </c>
      <c r="B154" s="1" t="s">
        <v>266</v>
      </c>
      <c r="C154" s="1" t="s">
        <v>267</v>
      </c>
      <c r="D154" s="1" t="s">
        <v>74</v>
      </c>
      <c r="E154" s="1" t="s">
        <v>280</v>
      </c>
      <c r="F154" s="1" t="s">
        <v>281</v>
      </c>
      <c r="G154" s="1" t="s">
        <v>550</v>
      </c>
      <c r="H154" s="1" t="s">
        <v>551</v>
      </c>
      <c r="I154" s="11">
        <v>0.1333</v>
      </c>
    </row>
    <row r="155" spans="1:9" x14ac:dyDescent="0.25">
      <c r="A155" s="1" t="s">
        <v>525</v>
      </c>
      <c r="B155" s="1" t="s">
        <v>266</v>
      </c>
      <c r="C155" s="1" t="s">
        <v>267</v>
      </c>
      <c r="D155" s="1" t="s">
        <v>74</v>
      </c>
      <c r="E155" s="1" t="s">
        <v>282</v>
      </c>
      <c r="F155" s="1" t="s">
        <v>283</v>
      </c>
      <c r="G155" s="1" t="s">
        <v>550</v>
      </c>
      <c r="H155" s="1" t="s">
        <v>551</v>
      </c>
      <c r="I155" s="11">
        <v>0.1333</v>
      </c>
    </row>
    <row r="156" spans="1:9" x14ac:dyDescent="0.25">
      <c r="A156" s="1" t="s">
        <v>525</v>
      </c>
      <c r="B156" s="1" t="s">
        <v>270</v>
      </c>
      <c r="C156" s="1" t="s">
        <v>271</v>
      </c>
      <c r="D156" s="1" t="s">
        <v>74</v>
      </c>
      <c r="E156" s="1" t="s">
        <v>270</v>
      </c>
      <c r="F156" s="1" t="s">
        <v>271</v>
      </c>
      <c r="G156" s="1" t="s">
        <v>551</v>
      </c>
      <c r="H156" s="1" t="s">
        <v>551</v>
      </c>
      <c r="I156" s="11">
        <v>1</v>
      </c>
    </row>
    <row r="157" spans="1:9" x14ac:dyDescent="0.25">
      <c r="A157" s="1" t="s">
        <v>526</v>
      </c>
      <c r="B157" s="1" t="s">
        <v>284</v>
      </c>
      <c r="C157" s="1" t="s">
        <v>285</v>
      </c>
      <c r="D157" s="1" t="s">
        <v>74</v>
      </c>
      <c r="E157" s="1" t="s">
        <v>286</v>
      </c>
      <c r="F157" s="1" t="s">
        <v>287</v>
      </c>
      <c r="G157" s="1" t="s">
        <v>551</v>
      </c>
      <c r="H157" s="1" t="s">
        <v>550</v>
      </c>
    </row>
    <row r="158" spans="1:9" x14ac:dyDescent="0.25">
      <c r="A158" s="1" t="s">
        <v>526</v>
      </c>
      <c r="B158" s="1" t="s">
        <v>284</v>
      </c>
      <c r="C158" s="1" t="s">
        <v>285</v>
      </c>
      <c r="D158" s="1" t="s">
        <v>74</v>
      </c>
      <c r="E158" s="1" t="s">
        <v>290</v>
      </c>
      <c r="F158" s="1" t="s">
        <v>291</v>
      </c>
      <c r="G158" s="1" t="s">
        <v>551</v>
      </c>
      <c r="H158" s="1" t="s">
        <v>550</v>
      </c>
    </row>
    <row r="159" spans="1:9" x14ac:dyDescent="0.25">
      <c r="A159" s="1" t="s">
        <v>526</v>
      </c>
      <c r="B159" s="1" t="s">
        <v>284</v>
      </c>
      <c r="C159" s="1" t="s">
        <v>285</v>
      </c>
      <c r="D159" s="1" t="s">
        <v>74</v>
      </c>
      <c r="E159" s="1" t="s">
        <v>288</v>
      </c>
      <c r="F159" s="1" t="s">
        <v>289</v>
      </c>
      <c r="G159" s="1" t="s">
        <v>550</v>
      </c>
      <c r="H159" s="1" t="s">
        <v>551</v>
      </c>
      <c r="I159" s="11">
        <v>0</v>
      </c>
    </row>
    <row r="160" spans="1:9" x14ac:dyDescent="0.25">
      <c r="A160" s="1" t="s">
        <v>526</v>
      </c>
      <c r="B160" s="1" t="s">
        <v>284</v>
      </c>
      <c r="C160" s="1" t="s">
        <v>285</v>
      </c>
      <c r="D160" s="1" t="s">
        <v>74</v>
      </c>
      <c r="E160" s="1" t="s">
        <v>292</v>
      </c>
      <c r="F160" s="1" t="s">
        <v>293</v>
      </c>
      <c r="G160" s="1" t="s">
        <v>551</v>
      </c>
      <c r="H160" s="1" t="s">
        <v>551</v>
      </c>
      <c r="I160" s="11">
        <v>0</v>
      </c>
    </row>
    <row r="161" spans="1:9" x14ac:dyDescent="0.25">
      <c r="A161" s="1" t="s">
        <v>526</v>
      </c>
      <c r="B161" s="1" t="s">
        <v>284</v>
      </c>
      <c r="C161" s="1" t="s">
        <v>285</v>
      </c>
      <c r="D161" s="1" t="s">
        <v>74</v>
      </c>
      <c r="E161" s="1" t="s">
        <v>294</v>
      </c>
      <c r="F161" s="1" t="s">
        <v>295</v>
      </c>
      <c r="G161" s="1" t="s">
        <v>550</v>
      </c>
      <c r="H161" s="1" t="s">
        <v>551</v>
      </c>
      <c r="I161" s="11">
        <v>0</v>
      </c>
    </row>
    <row r="162" spans="1:9" x14ac:dyDescent="0.25">
      <c r="A162" s="1" t="s">
        <v>526</v>
      </c>
      <c r="B162" s="1" t="s">
        <v>284</v>
      </c>
      <c r="C162" s="1" t="s">
        <v>285</v>
      </c>
      <c r="D162" s="1" t="s">
        <v>74</v>
      </c>
      <c r="E162" s="1" t="s">
        <v>298</v>
      </c>
      <c r="F162" s="1" t="s">
        <v>299</v>
      </c>
      <c r="G162" s="1" t="s">
        <v>550</v>
      </c>
      <c r="H162" s="1" t="s">
        <v>551</v>
      </c>
      <c r="I162" s="11">
        <v>0</v>
      </c>
    </row>
    <row r="163" spans="1:9" x14ac:dyDescent="0.25">
      <c r="A163" s="1" t="s">
        <v>526</v>
      </c>
      <c r="B163" s="1" t="s">
        <v>284</v>
      </c>
      <c r="C163" s="1" t="s">
        <v>285</v>
      </c>
      <c r="D163" s="1" t="s">
        <v>74</v>
      </c>
      <c r="E163" s="1" t="s">
        <v>296</v>
      </c>
      <c r="F163" s="1" t="s">
        <v>297</v>
      </c>
      <c r="G163" s="1" t="s">
        <v>551</v>
      </c>
      <c r="H163" s="1" t="s">
        <v>551</v>
      </c>
      <c r="I163" s="11">
        <v>1.0200000000000001E-2</v>
      </c>
    </row>
    <row r="164" spans="1:9" x14ac:dyDescent="0.25">
      <c r="A164" s="1" t="s">
        <v>526</v>
      </c>
      <c r="B164" s="1" t="s">
        <v>284</v>
      </c>
      <c r="C164" s="1" t="s">
        <v>285</v>
      </c>
      <c r="D164" s="1" t="s">
        <v>74</v>
      </c>
      <c r="E164" s="1" t="s">
        <v>300</v>
      </c>
      <c r="F164" s="1" t="s">
        <v>301</v>
      </c>
      <c r="G164" s="1" t="s">
        <v>550</v>
      </c>
      <c r="H164" s="1" t="s">
        <v>551</v>
      </c>
      <c r="I164" s="11">
        <v>1.0200000000000001E-2</v>
      </c>
    </row>
    <row r="165" spans="1:9" x14ac:dyDescent="0.25">
      <c r="A165" s="1" t="s">
        <v>526</v>
      </c>
      <c r="B165" s="1" t="s">
        <v>284</v>
      </c>
      <c r="C165" s="1" t="s">
        <v>285</v>
      </c>
      <c r="D165" s="1" t="s">
        <v>74</v>
      </c>
      <c r="E165" s="1" t="s">
        <v>302</v>
      </c>
      <c r="F165" s="1" t="s">
        <v>303</v>
      </c>
      <c r="G165" s="1" t="s">
        <v>550</v>
      </c>
      <c r="H165" s="1" t="s">
        <v>551</v>
      </c>
      <c r="I165" s="11">
        <v>2.29E-2</v>
      </c>
    </row>
    <row r="166" spans="1:9" x14ac:dyDescent="0.25">
      <c r="A166" s="1" t="s">
        <v>526</v>
      </c>
      <c r="B166" s="1" t="s">
        <v>284</v>
      </c>
      <c r="C166" s="1" t="s">
        <v>285</v>
      </c>
      <c r="D166" s="1" t="s">
        <v>74</v>
      </c>
      <c r="E166" s="1" t="s">
        <v>304</v>
      </c>
      <c r="F166" s="1" t="s">
        <v>305</v>
      </c>
      <c r="G166" s="1" t="s">
        <v>550</v>
      </c>
      <c r="H166" s="1" t="s">
        <v>551</v>
      </c>
      <c r="I166" s="11">
        <v>1.2200000000000001E-2</v>
      </c>
    </row>
    <row r="167" spans="1:9" x14ac:dyDescent="0.25">
      <c r="A167" s="1" t="s">
        <v>526</v>
      </c>
      <c r="B167" s="1" t="s">
        <v>284</v>
      </c>
      <c r="C167" s="1" t="s">
        <v>285</v>
      </c>
      <c r="D167" s="1" t="s">
        <v>74</v>
      </c>
      <c r="E167" s="1" t="s">
        <v>306</v>
      </c>
      <c r="F167" s="1" t="s">
        <v>307</v>
      </c>
      <c r="G167" s="1" t="s">
        <v>550</v>
      </c>
      <c r="H167" s="1" t="s">
        <v>551</v>
      </c>
      <c r="I167" s="11">
        <v>1.2200000000000001E-2</v>
      </c>
    </row>
    <row r="168" spans="1:9" x14ac:dyDescent="0.25">
      <c r="A168" s="1" t="s">
        <v>526</v>
      </c>
      <c r="B168" s="1" t="s">
        <v>284</v>
      </c>
      <c r="C168" s="1" t="s">
        <v>285</v>
      </c>
      <c r="D168" s="1" t="s">
        <v>74</v>
      </c>
      <c r="E168" s="1" t="s">
        <v>308</v>
      </c>
      <c r="F168" s="1" t="s">
        <v>309</v>
      </c>
      <c r="G168" s="1" t="s">
        <v>550</v>
      </c>
      <c r="H168" s="1" t="s">
        <v>551</v>
      </c>
      <c r="I168" s="11">
        <v>1.2200000000000001E-2</v>
      </c>
    </row>
    <row r="169" spans="1:9" x14ac:dyDescent="0.25">
      <c r="A169" s="1" t="s">
        <v>526</v>
      </c>
      <c r="B169" s="1" t="s">
        <v>284</v>
      </c>
      <c r="C169" s="1" t="s">
        <v>285</v>
      </c>
      <c r="D169" s="1" t="s">
        <v>74</v>
      </c>
      <c r="E169" s="1" t="s">
        <v>310</v>
      </c>
      <c r="F169" s="1" t="s">
        <v>311</v>
      </c>
      <c r="G169" s="1" t="s">
        <v>550</v>
      </c>
      <c r="H169" s="1" t="s">
        <v>551</v>
      </c>
      <c r="I169" s="11">
        <v>1.0200000000000001E-2</v>
      </c>
    </row>
    <row r="170" spans="1:9" x14ac:dyDescent="0.25">
      <c r="A170" s="1" t="s">
        <v>526</v>
      </c>
      <c r="B170" s="1" t="s">
        <v>284</v>
      </c>
      <c r="C170" s="1" t="s">
        <v>285</v>
      </c>
      <c r="D170" s="1" t="s">
        <v>1099</v>
      </c>
      <c r="E170" s="1" t="s">
        <v>312</v>
      </c>
      <c r="F170" s="1" t="s">
        <v>313</v>
      </c>
      <c r="G170" s="1" t="s">
        <v>550</v>
      </c>
      <c r="H170" s="1" t="s">
        <v>551</v>
      </c>
      <c r="I170" s="11">
        <v>0.63539999999999996</v>
      </c>
    </row>
    <row r="171" spans="1:9" x14ac:dyDescent="0.25">
      <c r="A171" s="1" t="s">
        <v>526</v>
      </c>
      <c r="B171" s="1" t="s">
        <v>284</v>
      </c>
      <c r="C171" s="1" t="s">
        <v>285</v>
      </c>
      <c r="D171" s="1" t="s">
        <v>74</v>
      </c>
      <c r="E171" s="1" t="s">
        <v>314</v>
      </c>
      <c r="F171" s="1" t="s">
        <v>315</v>
      </c>
      <c r="G171" s="1" t="s">
        <v>550</v>
      </c>
      <c r="H171" s="1" t="s">
        <v>551</v>
      </c>
      <c r="I171" s="11">
        <v>2.29E-2</v>
      </c>
    </row>
    <row r="172" spans="1:9" x14ac:dyDescent="0.25">
      <c r="A172" s="1" t="s">
        <v>526</v>
      </c>
      <c r="B172" s="1" t="s">
        <v>284</v>
      </c>
      <c r="C172" s="1" t="s">
        <v>285</v>
      </c>
      <c r="D172" s="1" t="s">
        <v>74</v>
      </c>
      <c r="E172" s="1" t="s">
        <v>316</v>
      </c>
      <c r="F172" s="1" t="s">
        <v>317</v>
      </c>
      <c r="G172" s="1" t="s">
        <v>550</v>
      </c>
      <c r="H172" s="1" t="s">
        <v>551</v>
      </c>
      <c r="I172" s="11">
        <v>1.2200000000000001E-2</v>
      </c>
    </row>
    <row r="173" spans="1:9" x14ac:dyDescent="0.25">
      <c r="A173" s="1" t="s">
        <v>526</v>
      </c>
      <c r="B173" s="1" t="s">
        <v>284</v>
      </c>
      <c r="C173" s="1" t="s">
        <v>285</v>
      </c>
      <c r="D173" s="1" t="s">
        <v>74</v>
      </c>
      <c r="E173" s="1" t="s">
        <v>318</v>
      </c>
      <c r="F173" s="1" t="s">
        <v>319</v>
      </c>
      <c r="G173" s="1" t="s">
        <v>550</v>
      </c>
      <c r="H173" s="1" t="s">
        <v>551</v>
      </c>
      <c r="I173" s="11">
        <v>2.0400000000000001E-2</v>
      </c>
    </row>
    <row r="174" spans="1:9" x14ac:dyDescent="0.25">
      <c r="A174" s="1" t="s">
        <v>526</v>
      </c>
      <c r="B174" s="1" t="s">
        <v>284</v>
      </c>
      <c r="C174" s="1" t="s">
        <v>285</v>
      </c>
      <c r="D174" s="1" t="s">
        <v>74</v>
      </c>
      <c r="E174" s="1" t="s">
        <v>320</v>
      </c>
      <c r="F174" s="1" t="s">
        <v>321</v>
      </c>
      <c r="G174" s="1" t="s">
        <v>550</v>
      </c>
      <c r="H174" s="1" t="s">
        <v>551</v>
      </c>
      <c r="I174" s="11">
        <v>1.4500000000000001E-2</v>
      </c>
    </row>
    <row r="175" spans="1:9" x14ac:dyDescent="0.25">
      <c r="A175" s="1" t="s">
        <v>526</v>
      </c>
      <c r="B175" s="1" t="s">
        <v>284</v>
      </c>
      <c r="C175" s="1" t="s">
        <v>285</v>
      </c>
      <c r="D175" s="1" t="s">
        <v>74</v>
      </c>
      <c r="E175" s="1" t="s">
        <v>322</v>
      </c>
      <c r="F175" s="1" t="s">
        <v>323</v>
      </c>
      <c r="G175" s="1" t="s">
        <v>550</v>
      </c>
      <c r="H175" s="1" t="s">
        <v>551</v>
      </c>
      <c r="I175" s="11">
        <v>2.0400000000000001E-2</v>
      </c>
    </row>
    <row r="176" spans="1:9" x14ac:dyDescent="0.25">
      <c r="A176" s="1" t="s">
        <v>526</v>
      </c>
      <c r="B176" s="1" t="s">
        <v>284</v>
      </c>
      <c r="C176" s="1" t="s">
        <v>285</v>
      </c>
      <c r="D176" s="1" t="s">
        <v>74</v>
      </c>
      <c r="E176" s="1" t="s">
        <v>324</v>
      </c>
      <c r="F176" s="1" t="s">
        <v>325</v>
      </c>
      <c r="G176" s="1" t="s">
        <v>550</v>
      </c>
      <c r="H176" s="1" t="s">
        <v>551</v>
      </c>
      <c r="I176" s="11">
        <v>2.0400000000000001E-2</v>
      </c>
    </row>
    <row r="177" spans="1:9" x14ac:dyDescent="0.25">
      <c r="A177" s="1" t="s">
        <v>526</v>
      </c>
      <c r="B177" s="1" t="s">
        <v>284</v>
      </c>
      <c r="C177" s="1" t="s">
        <v>285</v>
      </c>
      <c r="D177" s="1" t="s">
        <v>74</v>
      </c>
      <c r="E177" s="1" t="s">
        <v>326</v>
      </c>
      <c r="F177" s="1" t="s">
        <v>327</v>
      </c>
      <c r="G177" s="1" t="s">
        <v>550</v>
      </c>
      <c r="H177" s="1" t="s">
        <v>551</v>
      </c>
      <c r="I177" s="11">
        <v>1.2200000000000001E-2</v>
      </c>
    </row>
    <row r="178" spans="1:9" x14ac:dyDescent="0.25">
      <c r="A178" s="1" t="s">
        <v>526</v>
      </c>
      <c r="B178" s="1" t="s">
        <v>284</v>
      </c>
      <c r="C178" s="1" t="s">
        <v>285</v>
      </c>
      <c r="D178" s="1" t="s">
        <v>74</v>
      </c>
      <c r="E178" s="1" t="s">
        <v>328</v>
      </c>
      <c r="F178" s="1" t="s">
        <v>329</v>
      </c>
      <c r="G178" s="1" t="s">
        <v>550</v>
      </c>
      <c r="H178" s="1" t="s">
        <v>551</v>
      </c>
      <c r="I178" s="11">
        <v>2.0400000000000001E-2</v>
      </c>
    </row>
    <row r="179" spans="1:9" x14ac:dyDescent="0.25">
      <c r="A179" s="1" t="s">
        <v>526</v>
      </c>
      <c r="B179" s="1" t="s">
        <v>284</v>
      </c>
      <c r="C179" s="1" t="s">
        <v>285</v>
      </c>
      <c r="D179" s="1" t="s">
        <v>74</v>
      </c>
      <c r="E179" s="1" t="s">
        <v>330</v>
      </c>
      <c r="F179" s="1" t="s">
        <v>331</v>
      </c>
      <c r="G179" s="1" t="s">
        <v>550</v>
      </c>
      <c r="H179" s="1" t="s">
        <v>551</v>
      </c>
      <c r="I179" s="11">
        <v>2.0400000000000001E-2</v>
      </c>
    </row>
    <row r="180" spans="1:9" x14ac:dyDescent="0.25">
      <c r="A180" s="1" t="s">
        <v>526</v>
      </c>
      <c r="B180" s="1" t="s">
        <v>284</v>
      </c>
      <c r="C180" s="1" t="s">
        <v>285</v>
      </c>
      <c r="D180" s="1" t="s">
        <v>74</v>
      </c>
      <c r="E180" s="1" t="s">
        <v>332</v>
      </c>
      <c r="F180" s="1" t="s">
        <v>333</v>
      </c>
      <c r="G180" s="1" t="s">
        <v>550</v>
      </c>
      <c r="H180" s="1" t="s">
        <v>551</v>
      </c>
      <c r="I180" s="11">
        <v>1.2200000000000001E-2</v>
      </c>
    </row>
    <row r="181" spans="1:9" x14ac:dyDescent="0.25">
      <c r="A181" s="1" t="s">
        <v>526</v>
      </c>
      <c r="B181" s="1" t="s">
        <v>284</v>
      </c>
      <c r="C181" s="1" t="s">
        <v>285</v>
      </c>
      <c r="D181" s="1" t="s">
        <v>74</v>
      </c>
      <c r="E181" s="1" t="s">
        <v>334</v>
      </c>
      <c r="F181" s="1" t="s">
        <v>335</v>
      </c>
      <c r="G181" s="1" t="s">
        <v>550</v>
      </c>
      <c r="H181" s="1" t="s">
        <v>551</v>
      </c>
      <c r="I181" s="11">
        <v>1.0200000000000001E-2</v>
      </c>
    </row>
    <row r="182" spans="1:9" x14ac:dyDescent="0.25">
      <c r="A182" s="1" t="s">
        <v>526</v>
      </c>
      <c r="B182" s="1" t="s">
        <v>284</v>
      </c>
      <c r="C182" s="1" t="s">
        <v>285</v>
      </c>
      <c r="D182" s="1" t="s">
        <v>74</v>
      </c>
      <c r="E182" s="1" t="s">
        <v>336</v>
      </c>
      <c r="F182" s="1" t="s">
        <v>337</v>
      </c>
      <c r="G182" s="1" t="s">
        <v>550</v>
      </c>
      <c r="H182" s="1" t="s">
        <v>551</v>
      </c>
      <c r="I182" s="11">
        <v>1.2200000000000001E-2</v>
      </c>
    </row>
    <row r="183" spans="1:9" x14ac:dyDescent="0.25">
      <c r="A183" s="1" t="s">
        <v>526</v>
      </c>
      <c r="B183" s="1" t="s">
        <v>284</v>
      </c>
      <c r="C183" s="1" t="s">
        <v>285</v>
      </c>
      <c r="D183" s="1" t="s">
        <v>74</v>
      </c>
      <c r="E183" s="1" t="s">
        <v>338</v>
      </c>
      <c r="F183" s="1" t="s">
        <v>339</v>
      </c>
      <c r="G183" s="1" t="s">
        <v>550</v>
      </c>
      <c r="H183" s="1" t="s">
        <v>551</v>
      </c>
      <c r="I183" s="11">
        <v>1.5299999999999999E-2</v>
      </c>
    </row>
    <row r="184" spans="1:9" x14ac:dyDescent="0.25">
      <c r="A184" s="1" t="s">
        <v>526</v>
      </c>
      <c r="B184" s="1" t="s">
        <v>284</v>
      </c>
      <c r="C184" s="1" t="s">
        <v>285</v>
      </c>
      <c r="D184" s="1" t="s">
        <v>74</v>
      </c>
      <c r="E184" s="1" t="s">
        <v>340</v>
      </c>
      <c r="F184" s="1" t="s">
        <v>341</v>
      </c>
      <c r="G184" s="1" t="s">
        <v>550</v>
      </c>
      <c r="H184" s="1" t="s">
        <v>551</v>
      </c>
      <c r="I184" s="11">
        <v>1.2200000000000001E-2</v>
      </c>
    </row>
    <row r="185" spans="1:9" x14ac:dyDescent="0.25">
      <c r="A185" s="1" t="s">
        <v>526</v>
      </c>
      <c r="B185" s="1" t="s">
        <v>284</v>
      </c>
      <c r="C185" s="1" t="s">
        <v>285</v>
      </c>
      <c r="D185" s="1" t="s">
        <v>74</v>
      </c>
      <c r="E185" s="1" t="s">
        <v>342</v>
      </c>
      <c r="F185" s="1" t="s">
        <v>343</v>
      </c>
      <c r="G185" s="1" t="s">
        <v>550</v>
      </c>
      <c r="H185" s="1" t="s">
        <v>551</v>
      </c>
      <c r="I185" s="11">
        <v>1.2200000000000001E-2</v>
      </c>
    </row>
    <row r="186" spans="1:9" x14ac:dyDescent="0.25">
      <c r="A186" s="1" t="s">
        <v>526</v>
      </c>
      <c r="B186" s="1" t="s">
        <v>284</v>
      </c>
      <c r="C186" s="1" t="s">
        <v>285</v>
      </c>
      <c r="D186" s="1" t="s">
        <v>74</v>
      </c>
      <c r="E186" s="1" t="s">
        <v>344</v>
      </c>
      <c r="F186" s="1" t="s">
        <v>345</v>
      </c>
      <c r="G186" s="1" t="s">
        <v>550</v>
      </c>
      <c r="H186" s="1" t="s">
        <v>551</v>
      </c>
      <c r="I186" s="11">
        <v>1.0200000000000001E-2</v>
      </c>
    </row>
    <row r="187" spans="1:9" x14ac:dyDescent="0.25">
      <c r="A187" s="1" t="s">
        <v>526</v>
      </c>
      <c r="B187" s="1" t="s">
        <v>284</v>
      </c>
      <c r="C187" s="1" t="s">
        <v>285</v>
      </c>
      <c r="D187" s="1" t="s">
        <v>74</v>
      </c>
      <c r="E187" s="1" t="s">
        <v>346</v>
      </c>
      <c r="F187" s="1" t="s">
        <v>347</v>
      </c>
      <c r="G187" s="1" t="s">
        <v>550</v>
      </c>
      <c r="H187" s="1" t="s">
        <v>551</v>
      </c>
      <c r="I187" s="11">
        <v>1.2200000000000001E-2</v>
      </c>
    </row>
    <row r="188" spans="1:9" x14ac:dyDescent="0.25">
      <c r="A188" s="1" t="s">
        <v>526</v>
      </c>
      <c r="B188" s="1" t="s">
        <v>284</v>
      </c>
      <c r="C188" s="1" t="s">
        <v>285</v>
      </c>
      <c r="D188" s="1" t="s">
        <v>74</v>
      </c>
      <c r="E188" s="1" t="s">
        <v>348</v>
      </c>
      <c r="F188" s="1" t="s">
        <v>349</v>
      </c>
      <c r="G188" s="1" t="s">
        <v>550</v>
      </c>
      <c r="H188" s="1" t="s">
        <v>551</v>
      </c>
      <c r="I188" s="11">
        <v>1.0200000000000001E-2</v>
      </c>
    </row>
    <row r="189" spans="1:9" x14ac:dyDescent="0.25">
      <c r="A189" s="1" t="s">
        <v>526</v>
      </c>
      <c r="B189" s="1" t="s">
        <v>350</v>
      </c>
      <c r="C189" s="1" t="s">
        <v>573</v>
      </c>
      <c r="D189" s="1" t="s">
        <v>74</v>
      </c>
      <c r="E189" s="1" t="s">
        <v>286</v>
      </c>
      <c r="F189" s="1" t="s">
        <v>287</v>
      </c>
      <c r="G189" s="1" t="s">
        <v>551</v>
      </c>
      <c r="H189" s="1" t="s">
        <v>551</v>
      </c>
      <c r="I189" s="11">
        <v>0.5</v>
      </c>
    </row>
    <row r="190" spans="1:9" x14ac:dyDescent="0.25">
      <c r="A190" s="1" t="s">
        <v>526</v>
      </c>
      <c r="B190" s="1" t="s">
        <v>350</v>
      </c>
      <c r="C190" s="1" t="s">
        <v>573</v>
      </c>
      <c r="D190" s="1" t="s">
        <v>74</v>
      </c>
      <c r="E190" s="1" t="s">
        <v>351</v>
      </c>
      <c r="F190" s="1" t="s">
        <v>352</v>
      </c>
      <c r="G190" s="1" t="s">
        <v>551</v>
      </c>
      <c r="H190" s="1" t="s">
        <v>551</v>
      </c>
      <c r="I190" s="11">
        <v>0.5</v>
      </c>
    </row>
    <row r="191" spans="1:9" x14ac:dyDescent="0.25">
      <c r="A191" s="1" t="s">
        <v>526</v>
      </c>
      <c r="B191" s="1" t="s">
        <v>312</v>
      </c>
      <c r="C191" s="1" t="s">
        <v>313</v>
      </c>
      <c r="D191" s="1" t="s">
        <v>74</v>
      </c>
      <c r="E191" s="1" t="s">
        <v>292</v>
      </c>
      <c r="F191" s="1" t="s">
        <v>293</v>
      </c>
      <c r="G191" s="1" t="s">
        <v>551</v>
      </c>
      <c r="H191" s="1" t="s">
        <v>550</v>
      </c>
    </row>
    <row r="192" spans="1:9" x14ac:dyDescent="0.25">
      <c r="A192" s="1" t="s">
        <v>526</v>
      </c>
      <c r="B192" s="1" t="s">
        <v>312</v>
      </c>
      <c r="C192" s="1" t="s">
        <v>313</v>
      </c>
      <c r="D192" s="1" t="s">
        <v>74</v>
      </c>
      <c r="E192" s="1" t="s">
        <v>296</v>
      </c>
      <c r="F192" s="1" t="s">
        <v>297</v>
      </c>
      <c r="G192" s="1" t="s">
        <v>551</v>
      </c>
      <c r="H192" s="1" t="s">
        <v>550</v>
      </c>
    </row>
    <row r="193" spans="1:9" x14ac:dyDescent="0.25">
      <c r="A193" s="1" t="s">
        <v>526</v>
      </c>
      <c r="B193" s="1" t="s">
        <v>312</v>
      </c>
      <c r="C193" s="1" t="s">
        <v>313</v>
      </c>
      <c r="D193" s="1" t="s">
        <v>74</v>
      </c>
      <c r="E193" s="1" t="s">
        <v>302</v>
      </c>
      <c r="F193" s="1" t="s">
        <v>303</v>
      </c>
      <c r="G193" s="1" t="s">
        <v>551</v>
      </c>
      <c r="H193" s="1" t="s">
        <v>550</v>
      </c>
    </row>
    <row r="194" spans="1:9" x14ac:dyDescent="0.25">
      <c r="A194" s="1" t="s">
        <v>526</v>
      </c>
      <c r="B194" s="1" t="s">
        <v>312</v>
      </c>
      <c r="C194" s="1" t="s">
        <v>313</v>
      </c>
      <c r="D194" s="1" t="s">
        <v>74</v>
      </c>
      <c r="E194" s="1" t="s">
        <v>286</v>
      </c>
      <c r="F194" s="1" t="s">
        <v>287</v>
      </c>
      <c r="G194" s="1" t="s">
        <v>550</v>
      </c>
      <c r="H194" s="1" t="s">
        <v>551</v>
      </c>
      <c r="I194" s="11">
        <v>0</v>
      </c>
    </row>
    <row r="195" spans="1:9" x14ac:dyDescent="0.25">
      <c r="A195" s="1" t="s">
        <v>526</v>
      </c>
      <c r="B195" s="1" t="s">
        <v>312</v>
      </c>
      <c r="C195" s="1" t="s">
        <v>313</v>
      </c>
      <c r="D195" s="1" t="s">
        <v>1099</v>
      </c>
      <c r="E195" s="1" t="s">
        <v>353</v>
      </c>
      <c r="F195" s="1" t="s">
        <v>354</v>
      </c>
      <c r="G195" s="1" t="s">
        <v>550</v>
      </c>
      <c r="H195" s="1" t="s">
        <v>551</v>
      </c>
      <c r="I195" s="11">
        <v>0.16669999999999999</v>
      </c>
    </row>
    <row r="196" spans="1:9" x14ac:dyDescent="0.25">
      <c r="A196" s="1" t="s">
        <v>526</v>
      </c>
      <c r="B196" s="1" t="s">
        <v>312</v>
      </c>
      <c r="C196" s="1" t="s">
        <v>313</v>
      </c>
      <c r="D196" s="1" t="s">
        <v>1099</v>
      </c>
      <c r="E196" s="1" t="s">
        <v>355</v>
      </c>
      <c r="F196" s="1" t="s">
        <v>356</v>
      </c>
      <c r="G196" s="1" t="s">
        <v>550</v>
      </c>
      <c r="H196" s="1" t="s">
        <v>551</v>
      </c>
      <c r="I196" s="11">
        <v>0.16669999999999999</v>
      </c>
    </row>
    <row r="197" spans="1:9" x14ac:dyDescent="0.25">
      <c r="A197" s="1" t="s">
        <v>526</v>
      </c>
      <c r="B197" s="1" t="s">
        <v>312</v>
      </c>
      <c r="C197" s="1" t="s">
        <v>313</v>
      </c>
      <c r="D197" s="1" t="s">
        <v>1099</v>
      </c>
      <c r="E197" s="1" t="s">
        <v>357</v>
      </c>
      <c r="F197" s="1" t="s">
        <v>358</v>
      </c>
      <c r="G197" s="1" t="s">
        <v>550</v>
      </c>
      <c r="H197" s="1" t="s">
        <v>551</v>
      </c>
      <c r="I197" s="11">
        <v>0.16669999999999999</v>
      </c>
    </row>
    <row r="198" spans="1:9" x14ac:dyDescent="0.25">
      <c r="A198" s="1" t="s">
        <v>526</v>
      </c>
      <c r="B198" s="1" t="s">
        <v>312</v>
      </c>
      <c r="C198" s="1" t="s">
        <v>313</v>
      </c>
      <c r="D198" s="1" t="s">
        <v>1099</v>
      </c>
      <c r="E198" s="1" t="s">
        <v>359</v>
      </c>
      <c r="F198" s="1" t="s">
        <v>360</v>
      </c>
      <c r="G198" s="1" t="s">
        <v>550</v>
      </c>
      <c r="H198" s="1" t="s">
        <v>551</v>
      </c>
      <c r="I198" s="11">
        <v>0.16669999999999999</v>
      </c>
    </row>
    <row r="199" spans="1:9" x14ac:dyDescent="0.25">
      <c r="A199" s="1" t="s">
        <v>526</v>
      </c>
      <c r="B199" s="1" t="s">
        <v>312</v>
      </c>
      <c r="C199" s="1" t="s">
        <v>313</v>
      </c>
      <c r="D199" s="1" t="s">
        <v>1099</v>
      </c>
      <c r="E199" s="1" t="s">
        <v>361</v>
      </c>
      <c r="F199" s="1" t="s">
        <v>362</v>
      </c>
      <c r="G199" s="1" t="s">
        <v>550</v>
      </c>
      <c r="H199" s="1" t="s">
        <v>551</v>
      </c>
      <c r="I199" s="11">
        <v>0.16669999999999999</v>
      </c>
    </row>
    <row r="200" spans="1:9" x14ac:dyDescent="0.25">
      <c r="A200" s="1" t="s">
        <v>526</v>
      </c>
      <c r="B200" s="1" t="s">
        <v>312</v>
      </c>
      <c r="C200" s="1" t="s">
        <v>313</v>
      </c>
      <c r="D200" s="1" t="s">
        <v>1099</v>
      </c>
      <c r="E200" s="1" t="s">
        <v>363</v>
      </c>
      <c r="F200" s="1" t="s">
        <v>364</v>
      </c>
      <c r="G200" s="1" t="s">
        <v>550</v>
      </c>
      <c r="H200" s="1" t="s">
        <v>551</v>
      </c>
      <c r="I200" s="11">
        <v>0.16669999999999999</v>
      </c>
    </row>
    <row r="201" spans="1:9" x14ac:dyDescent="0.25">
      <c r="A201" s="1" t="s">
        <v>526</v>
      </c>
      <c r="B201" s="1" t="s">
        <v>365</v>
      </c>
      <c r="C201" s="1" t="s">
        <v>366</v>
      </c>
      <c r="D201" s="1" t="s">
        <v>74</v>
      </c>
      <c r="E201" s="1" t="s">
        <v>292</v>
      </c>
      <c r="F201" s="1" t="s">
        <v>293</v>
      </c>
      <c r="G201" s="1" t="s">
        <v>551</v>
      </c>
      <c r="H201" s="1" t="s">
        <v>550</v>
      </c>
    </row>
    <row r="202" spans="1:9" x14ac:dyDescent="0.25">
      <c r="A202" s="1" t="s">
        <v>526</v>
      </c>
      <c r="B202" s="1" t="s">
        <v>365</v>
      </c>
      <c r="C202" s="1" t="s">
        <v>366</v>
      </c>
      <c r="D202" s="1" t="s">
        <v>74</v>
      </c>
      <c r="E202" s="1" t="s">
        <v>296</v>
      </c>
      <c r="F202" s="1" t="s">
        <v>297</v>
      </c>
      <c r="G202" s="1" t="s">
        <v>551</v>
      </c>
      <c r="H202" s="1" t="s">
        <v>550</v>
      </c>
    </row>
    <row r="203" spans="1:9" x14ac:dyDescent="0.25">
      <c r="A203" s="1" t="s">
        <v>526</v>
      </c>
      <c r="B203" s="1" t="s">
        <v>365</v>
      </c>
      <c r="C203" s="1" t="s">
        <v>366</v>
      </c>
      <c r="D203" s="1" t="s">
        <v>74</v>
      </c>
      <c r="E203" s="1" t="s">
        <v>302</v>
      </c>
      <c r="F203" s="1" t="s">
        <v>303</v>
      </c>
      <c r="G203" s="1" t="s">
        <v>551</v>
      </c>
      <c r="H203" s="1" t="s">
        <v>550</v>
      </c>
    </row>
    <row r="204" spans="1:9" x14ac:dyDescent="0.25">
      <c r="A204" s="1" t="s">
        <v>526</v>
      </c>
      <c r="B204" s="1" t="s">
        <v>365</v>
      </c>
      <c r="C204" s="1" t="s">
        <v>366</v>
      </c>
      <c r="D204" s="1" t="s">
        <v>1099</v>
      </c>
      <c r="E204" s="1" t="s">
        <v>312</v>
      </c>
      <c r="F204" s="1" t="s">
        <v>313</v>
      </c>
      <c r="G204" s="1" t="s">
        <v>550</v>
      </c>
      <c r="H204" s="1" t="s">
        <v>551</v>
      </c>
      <c r="I204" s="11">
        <v>1</v>
      </c>
    </row>
    <row r="205" spans="1:9" x14ac:dyDescent="0.25">
      <c r="A205" s="1" t="s">
        <v>553</v>
      </c>
      <c r="B205" s="1" t="s">
        <v>367</v>
      </c>
      <c r="C205" s="1" t="s">
        <v>574</v>
      </c>
      <c r="D205" s="1" t="s">
        <v>74</v>
      </c>
      <c r="E205" s="1" t="s">
        <v>368</v>
      </c>
      <c r="F205" s="1" t="s">
        <v>369</v>
      </c>
      <c r="G205" s="1" t="s">
        <v>551</v>
      </c>
      <c r="H205" s="1" t="s">
        <v>550</v>
      </c>
    </row>
    <row r="206" spans="1:9" x14ac:dyDescent="0.25">
      <c r="A206" s="1" t="s">
        <v>553</v>
      </c>
      <c r="B206" s="1" t="s">
        <v>367</v>
      </c>
      <c r="C206" s="1" t="s">
        <v>574</v>
      </c>
      <c r="D206" s="1" t="s">
        <v>1099</v>
      </c>
      <c r="E206" s="1" t="s">
        <v>370</v>
      </c>
      <c r="F206" s="1" t="s">
        <v>371</v>
      </c>
      <c r="G206" s="1" t="s">
        <v>550</v>
      </c>
      <c r="H206" s="1" t="s">
        <v>551</v>
      </c>
      <c r="I206" s="11">
        <v>1</v>
      </c>
    </row>
    <row r="207" spans="1:9" x14ac:dyDescent="0.25">
      <c r="A207" s="1" t="s">
        <v>553</v>
      </c>
      <c r="B207" s="1" t="s">
        <v>370</v>
      </c>
      <c r="C207" s="1" t="s">
        <v>371</v>
      </c>
      <c r="D207" s="1" t="s">
        <v>74</v>
      </c>
      <c r="E207" s="1" t="s">
        <v>372</v>
      </c>
      <c r="F207" s="1" t="s">
        <v>373</v>
      </c>
      <c r="G207" s="1" t="s">
        <v>551</v>
      </c>
      <c r="H207" s="1" t="s">
        <v>551</v>
      </c>
      <c r="I207" s="11">
        <v>3.3333333333329662E-5</v>
      </c>
    </row>
    <row r="208" spans="1:9" x14ac:dyDescent="0.25">
      <c r="A208" s="1" t="s">
        <v>553</v>
      </c>
      <c r="B208" s="1" t="s">
        <v>370</v>
      </c>
      <c r="C208" s="1" t="s">
        <v>371</v>
      </c>
      <c r="D208" s="1" t="s">
        <v>74</v>
      </c>
      <c r="E208" s="1" t="s">
        <v>374</v>
      </c>
      <c r="F208" s="1" t="s">
        <v>375</v>
      </c>
      <c r="G208" s="1" t="s">
        <v>550</v>
      </c>
      <c r="H208" s="1" t="s">
        <v>551</v>
      </c>
      <c r="I208" s="11">
        <v>3.3333333333329662E-5</v>
      </c>
    </row>
    <row r="209" spans="1:9" x14ac:dyDescent="0.25">
      <c r="A209" s="1" t="s">
        <v>553</v>
      </c>
      <c r="B209" s="1" t="s">
        <v>370</v>
      </c>
      <c r="C209" s="1" t="s">
        <v>371</v>
      </c>
      <c r="D209" s="1" t="s">
        <v>74</v>
      </c>
      <c r="E209" s="1" t="s">
        <v>368</v>
      </c>
      <c r="F209" s="1" t="s">
        <v>369</v>
      </c>
      <c r="G209" s="1" t="s">
        <v>551</v>
      </c>
      <c r="H209" s="1" t="s">
        <v>551</v>
      </c>
      <c r="I209" s="11">
        <v>3.3333333333329662E-5</v>
      </c>
    </row>
    <row r="210" spans="1:9" x14ac:dyDescent="0.25">
      <c r="A210" s="1" t="s">
        <v>553</v>
      </c>
      <c r="B210" s="1" t="s">
        <v>370</v>
      </c>
      <c r="C210" s="1" t="s">
        <v>371</v>
      </c>
      <c r="D210" s="1" t="s">
        <v>1099</v>
      </c>
      <c r="E210" s="1" t="s">
        <v>376</v>
      </c>
      <c r="F210" s="1" t="s">
        <v>377</v>
      </c>
      <c r="G210" s="1" t="s">
        <v>550</v>
      </c>
      <c r="H210" s="1" t="s">
        <v>551</v>
      </c>
      <c r="I210" s="11">
        <v>1E-4</v>
      </c>
    </row>
    <row r="211" spans="1:9" x14ac:dyDescent="0.25">
      <c r="A211" s="1" t="s">
        <v>553</v>
      </c>
      <c r="B211" s="1" t="s">
        <v>370</v>
      </c>
      <c r="C211" s="1" t="s">
        <v>371</v>
      </c>
      <c r="D211" s="1" t="s">
        <v>1099</v>
      </c>
      <c r="E211" s="1" t="s">
        <v>378</v>
      </c>
      <c r="F211" s="1" t="s">
        <v>379</v>
      </c>
      <c r="G211" s="1" t="s">
        <v>550</v>
      </c>
      <c r="H211" s="1" t="s">
        <v>551</v>
      </c>
      <c r="I211" s="11">
        <v>0.99980000000000002</v>
      </c>
    </row>
    <row r="212" spans="1:9" x14ac:dyDescent="0.25">
      <c r="A212" s="1" t="s">
        <v>553</v>
      </c>
      <c r="B212" s="1" t="s">
        <v>378</v>
      </c>
      <c r="C212" s="1" t="s">
        <v>379</v>
      </c>
      <c r="D212" s="1" t="s">
        <v>74</v>
      </c>
      <c r="E212" s="1" t="s">
        <v>368</v>
      </c>
      <c r="F212" s="1" t="s">
        <v>369</v>
      </c>
      <c r="G212" s="1" t="s">
        <v>551</v>
      </c>
      <c r="H212" s="1" t="s">
        <v>551</v>
      </c>
      <c r="I212" s="11">
        <v>0.67869999999999997</v>
      </c>
    </row>
    <row r="213" spans="1:9" x14ac:dyDescent="0.25">
      <c r="A213" s="1" t="s">
        <v>553</v>
      </c>
      <c r="B213" s="1" t="s">
        <v>378</v>
      </c>
      <c r="C213" s="1" t="s">
        <v>379</v>
      </c>
      <c r="D213" s="1" t="s">
        <v>74</v>
      </c>
      <c r="E213" s="1" t="s">
        <v>380</v>
      </c>
      <c r="F213" s="1" t="s">
        <v>381</v>
      </c>
      <c r="G213" s="1" t="s">
        <v>550</v>
      </c>
      <c r="H213" s="1" t="s">
        <v>551</v>
      </c>
      <c r="I213" s="11">
        <v>3.5700000000000003E-2</v>
      </c>
    </row>
    <row r="214" spans="1:9" x14ac:dyDescent="0.25">
      <c r="A214" s="1" t="s">
        <v>553</v>
      </c>
      <c r="B214" s="1" t="s">
        <v>378</v>
      </c>
      <c r="C214" s="1" t="s">
        <v>379</v>
      </c>
      <c r="D214" s="1" t="s">
        <v>74</v>
      </c>
      <c r="E214" s="1" t="s">
        <v>382</v>
      </c>
      <c r="F214" s="1" t="s">
        <v>383</v>
      </c>
      <c r="G214" s="1" t="s">
        <v>550</v>
      </c>
      <c r="H214" s="1" t="s">
        <v>551</v>
      </c>
      <c r="I214" s="11">
        <v>7.1400000000000005E-2</v>
      </c>
    </row>
    <row r="215" spans="1:9" x14ac:dyDescent="0.25">
      <c r="A215" s="1" t="s">
        <v>553</v>
      </c>
      <c r="B215" s="1" t="s">
        <v>378</v>
      </c>
      <c r="C215" s="1" t="s">
        <v>379</v>
      </c>
      <c r="D215" s="1" t="s">
        <v>74</v>
      </c>
      <c r="E215" s="1" t="s">
        <v>384</v>
      </c>
      <c r="F215" s="1" t="s">
        <v>385</v>
      </c>
      <c r="G215" s="1" t="s">
        <v>550</v>
      </c>
      <c r="H215" s="1" t="s">
        <v>551</v>
      </c>
      <c r="I215" s="11">
        <v>7.1400000000000005E-2</v>
      </c>
    </row>
    <row r="216" spans="1:9" x14ac:dyDescent="0.25">
      <c r="A216" s="1" t="s">
        <v>553</v>
      </c>
      <c r="B216" s="1" t="s">
        <v>378</v>
      </c>
      <c r="C216" s="1" t="s">
        <v>379</v>
      </c>
      <c r="D216" s="1" t="s">
        <v>74</v>
      </c>
      <c r="E216" s="1" t="s">
        <v>386</v>
      </c>
      <c r="F216" s="1" t="s">
        <v>387</v>
      </c>
      <c r="G216" s="1" t="s">
        <v>550</v>
      </c>
      <c r="H216" s="1" t="s">
        <v>551</v>
      </c>
      <c r="I216" s="11">
        <v>7.1400000000000005E-2</v>
      </c>
    </row>
    <row r="217" spans="1:9" x14ac:dyDescent="0.25">
      <c r="A217" s="1" t="s">
        <v>553</v>
      </c>
      <c r="B217" s="1" t="s">
        <v>378</v>
      </c>
      <c r="C217" s="1" t="s">
        <v>379</v>
      </c>
      <c r="D217" s="1" t="s">
        <v>74</v>
      </c>
      <c r="E217" s="1" t="s">
        <v>388</v>
      </c>
      <c r="F217" s="1" t="s">
        <v>389</v>
      </c>
      <c r="G217" s="1" t="s">
        <v>550</v>
      </c>
      <c r="H217" s="1" t="s">
        <v>551</v>
      </c>
      <c r="I217" s="11">
        <v>7.1400000000000005E-2</v>
      </c>
    </row>
    <row r="218" spans="1:9" x14ac:dyDescent="0.25">
      <c r="A218" s="1" t="s">
        <v>553</v>
      </c>
      <c r="B218" s="1" t="s">
        <v>376</v>
      </c>
      <c r="C218" s="1" t="s">
        <v>377</v>
      </c>
      <c r="D218" s="1" t="s">
        <v>74</v>
      </c>
      <c r="E218" s="1" t="s">
        <v>368</v>
      </c>
      <c r="F218" s="1" t="s">
        <v>369</v>
      </c>
      <c r="G218" s="1" t="s">
        <v>551</v>
      </c>
      <c r="H218" s="1" t="s">
        <v>551</v>
      </c>
      <c r="I218" s="11">
        <v>0.66669999999999996</v>
      </c>
    </row>
    <row r="219" spans="1:9" x14ac:dyDescent="0.25">
      <c r="A219" s="1" t="s">
        <v>553</v>
      </c>
      <c r="B219" s="1" t="s">
        <v>376</v>
      </c>
      <c r="C219" s="1" t="s">
        <v>377</v>
      </c>
      <c r="D219" s="1" t="s">
        <v>1099</v>
      </c>
      <c r="E219" s="1" t="s">
        <v>378</v>
      </c>
      <c r="F219" s="1" t="s">
        <v>379</v>
      </c>
      <c r="G219" s="1" t="s">
        <v>550</v>
      </c>
      <c r="H219" s="1" t="s">
        <v>551</v>
      </c>
      <c r="I219" s="11">
        <v>0.33310000000000001</v>
      </c>
    </row>
    <row r="220" spans="1:9" x14ac:dyDescent="0.25">
      <c r="A220" s="1" t="s">
        <v>554</v>
      </c>
      <c r="B220" s="1" t="s">
        <v>390</v>
      </c>
      <c r="C220" s="1" t="s">
        <v>391</v>
      </c>
      <c r="D220" s="1" t="s">
        <v>74</v>
      </c>
      <c r="E220" s="1" t="s">
        <v>392</v>
      </c>
      <c r="F220" s="1" t="s">
        <v>393</v>
      </c>
      <c r="G220" s="1" t="s">
        <v>551</v>
      </c>
      <c r="H220" s="1" t="s">
        <v>551</v>
      </c>
      <c r="I220" s="11">
        <v>9.7999999999999997E-3</v>
      </c>
    </row>
    <row r="221" spans="1:9" x14ac:dyDescent="0.25">
      <c r="A221" s="1" t="s">
        <v>554</v>
      </c>
      <c r="B221" s="1" t="s">
        <v>390</v>
      </c>
      <c r="C221" s="1" t="s">
        <v>391</v>
      </c>
      <c r="D221" s="1" t="s">
        <v>74</v>
      </c>
      <c r="E221" s="1" t="s">
        <v>394</v>
      </c>
      <c r="F221" s="1" t="s">
        <v>395</v>
      </c>
      <c r="G221" s="1" t="s">
        <v>551</v>
      </c>
      <c r="H221" s="1" t="s">
        <v>551</v>
      </c>
      <c r="I221" s="11">
        <v>0.9738</v>
      </c>
    </row>
    <row r="222" spans="1:9" x14ac:dyDescent="0.25">
      <c r="A222" s="1" t="s">
        <v>554</v>
      </c>
      <c r="B222" s="1" t="s">
        <v>390</v>
      </c>
      <c r="C222" s="1" t="s">
        <v>391</v>
      </c>
      <c r="D222" s="1" t="s">
        <v>1099</v>
      </c>
      <c r="E222" s="1" t="s">
        <v>396</v>
      </c>
      <c r="F222" s="1" t="s">
        <v>397</v>
      </c>
      <c r="G222" s="1" t="s">
        <v>550</v>
      </c>
      <c r="H222" s="1" t="s">
        <v>551</v>
      </c>
      <c r="I222" s="11">
        <v>1.6400000000000001E-2</v>
      </c>
    </row>
    <row r="223" spans="1:9" x14ac:dyDescent="0.25">
      <c r="A223" s="1" t="s">
        <v>554</v>
      </c>
      <c r="B223" s="1" t="s">
        <v>821</v>
      </c>
      <c r="C223" s="1" t="s">
        <v>397</v>
      </c>
      <c r="D223" s="1" t="s">
        <v>74</v>
      </c>
      <c r="E223" s="1" t="s">
        <v>392</v>
      </c>
      <c r="F223" s="1" t="s">
        <v>393</v>
      </c>
      <c r="G223" s="1" t="s">
        <v>551</v>
      </c>
      <c r="H223" s="1" t="s">
        <v>550</v>
      </c>
    </row>
    <row r="224" spans="1:9" x14ac:dyDescent="0.25">
      <c r="A224" s="1" t="s">
        <v>554</v>
      </c>
      <c r="B224" s="1" t="s">
        <v>821</v>
      </c>
      <c r="C224" s="1" t="s">
        <v>397</v>
      </c>
      <c r="D224" s="1" t="s">
        <v>74</v>
      </c>
      <c r="E224" s="1" t="s">
        <v>398</v>
      </c>
      <c r="F224" s="1" t="s">
        <v>399</v>
      </c>
      <c r="G224" s="1" t="s">
        <v>550</v>
      </c>
      <c r="H224" s="1" t="s">
        <v>551</v>
      </c>
      <c r="I224" s="11">
        <v>0.125</v>
      </c>
    </row>
    <row r="225" spans="1:9" x14ac:dyDescent="0.25">
      <c r="A225" s="1" t="s">
        <v>554</v>
      </c>
      <c r="B225" s="1" t="s">
        <v>821</v>
      </c>
      <c r="C225" s="1" t="s">
        <v>397</v>
      </c>
      <c r="D225" s="1" t="s">
        <v>74</v>
      </c>
      <c r="E225" s="1" t="s">
        <v>400</v>
      </c>
      <c r="F225" s="1" t="s">
        <v>401</v>
      </c>
      <c r="G225" s="1" t="s">
        <v>550</v>
      </c>
      <c r="H225" s="1" t="s">
        <v>551</v>
      </c>
      <c r="I225" s="11">
        <v>0.125</v>
      </c>
    </row>
    <row r="226" spans="1:9" x14ac:dyDescent="0.25">
      <c r="A226" s="1" t="s">
        <v>554</v>
      </c>
      <c r="B226" s="1" t="s">
        <v>821</v>
      </c>
      <c r="C226" s="1" t="s">
        <v>397</v>
      </c>
      <c r="D226" s="1" t="s">
        <v>74</v>
      </c>
      <c r="E226" s="1" t="s">
        <v>402</v>
      </c>
      <c r="F226" s="1" t="s">
        <v>403</v>
      </c>
      <c r="G226" s="1" t="s">
        <v>550</v>
      </c>
      <c r="H226" s="1" t="s">
        <v>551</v>
      </c>
      <c r="I226" s="11">
        <v>0.125</v>
      </c>
    </row>
    <row r="227" spans="1:9" x14ac:dyDescent="0.25">
      <c r="A227" s="1" t="s">
        <v>554</v>
      </c>
      <c r="B227" s="1" t="s">
        <v>821</v>
      </c>
      <c r="C227" s="1" t="s">
        <v>397</v>
      </c>
      <c r="D227" s="1" t="s">
        <v>74</v>
      </c>
      <c r="E227" s="1" t="s">
        <v>404</v>
      </c>
      <c r="F227" s="1" t="s">
        <v>405</v>
      </c>
      <c r="G227" s="1" t="s">
        <v>550</v>
      </c>
      <c r="H227" s="1" t="s">
        <v>551</v>
      </c>
      <c r="I227" s="11">
        <v>0.125</v>
      </c>
    </row>
    <row r="228" spans="1:9" x14ac:dyDescent="0.25">
      <c r="A228" s="1" t="s">
        <v>554</v>
      </c>
      <c r="B228" s="1" t="s">
        <v>821</v>
      </c>
      <c r="C228" s="1" t="s">
        <v>397</v>
      </c>
      <c r="D228" s="1" t="s">
        <v>74</v>
      </c>
      <c r="E228" s="1" t="s">
        <v>406</v>
      </c>
      <c r="F228" s="1" t="s">
        <v>407</v>
      </c>
      <c r="G228" s="1" t="s">
        <v>550</v>
      </c>
      <c r="H228" s="1" t="s">
        <v>551</v>
      </c>
      <c r="I228" s="11">
        <v>0.125</v>
      </c>
    </row>
    <row r="229" spans="1:9" x14ac:dyDescent="0.25">
      <c r="A229" s="1" t="s">
        <v>554</v>
      </c>
      <c r="B229" s="1" t="s">
        <v>821</v>
      </c>
      <c r="C229" s="1" t="s">
        <v>397</v>
      </c>
      <c r="D229" s="1" t="s">
        <v>74</v>
      </c>
      <c r="E229" s="1" t="s">
        <v>408</v>
      </c>
      <c r="F229" s="1" t="s">
        <v>409</v>
      </c>
      <c r="G229" s="1" t="s">
        <v>550</v>
      </c>
      <c r="H229" s="1" t="s">
        <v>551</v>
      </c>
      <c r="I229" s="11">
        <v>0.125</v>
      </c>
    </row>
    <row r="230" spans="1:9" x14ac:dyDescent="0.25">
      <c r="A230" s="1" t="s">
        <v>554</v>
      </c>
      <c r="B230" s="1" t="s">
        <v>821</v>
      </c>
      <c r="C230" s="1" t="s">
        <v>397</v>
      </c>
      <c r="D230" s="1" t="s">
        <v>74</v>
      </c>
      <c r="E230" s="1" t="s">
        <v>410</v>
      </c>
      <c r="F230" s="1" t="s">
        <v>411</v>
      </c>
      <c r="G230" s="1" t="s">
        <v>550</v>
      </c>
      <c r="H230" s="1" t="s">
        <v>551</v>
      </c>
      <c r="I230" s="11">
        <v>0.125</v>
      </c>
    </row>
    <row r="231" spans="1:9" x14ac:dyDescent="0.25">
      <c r="A231" s="1" t="s">
        <v>554</v>
      </c>
      <c r="B231" s="1" t="s">
        <v>821</v>
      </c>
      <c r="C231" s="1" t="s">
        <v>397</v>
      </c>
      <c r="D231" s="1" t="s">
        <v>74</v>
      </c>
      <c r="E231" s="1" t="s">
        <v>412</v>
      </c>
      <c r="F231" s="1" t="s">
        <v>413</v>
      </c>
      <c r="G231" s="1" t="s">
        <v>550</v>
      </c>
      <c r="H231" s="1" t="s">
        <v>551</v>
      </c>
      <c r="I231" s="11">
        <v>0.125</v>
      </c>
    </row>
    <row r="232" spans="1:9" x14ac:dyDescent="0.25">
      <c r="A232" s="1" t="s">
        <v>554</v>
      </c>
      <c r="B232" s="1" t="s">
        <v>414</v>
      </c>
      <c r="C232" s="1" t="s">
        <v>415</v>
      </c>
      <c r="D232" s="1" t="s">
        <v>74</v>
      </c>
      <c r="E232" s="1" t="s">
        <v>392</v>
      </c>
      <c r="F232" s="1" t="s">
        <v>393</v>
      </c>
      <c r="G232" s="1" t="s">
        <v>551</v>
      </c>
      <c r="H232" s="1" t="s">
        <v>550</v>
      </c>
    </row>
    <row r="233" spans="1:9" x14ac:dyDescent="0.25">
      <c r="A233" s="1" t="s">
        <v>554</v>
      </c>
      <c r="B233" s="1" t="s">
        <v>414</v>
      </c>
      <c r="C233" s="1" t="s">
        <v>415</v>
      </c>
      <c r="D233" s="1" t="s">
        <v>74</v>
      </c>
      <c r="E233" s="1" t="s">
        <v>394</v>
      </c>
      <c r="F233" s="1" t="s">
        <v>395</v>
      </c>
      <c r="G233" s="1" t="s">
        <v>551</v>
      </c>
      <c r="H233" s="1" t="s">
        <v>551</v>
      </c>
      <c r="I233" s="11">
        <v>4.7E-2</v>
      </c>
    </row>
    <row r="234" spans="1:9" ht="15" customHeight="1" x14ac:dyDescent="0.25">
      <c r="A234" s="1" t="s">
        <v>554</v>
      </c>
      <c r="B234" s="1" t="s">
        <v>414</v>
      </c>
      <c r="C234" s="1" t="s">
        <v>415</v>
      </c>
      <c r="D234" s="1" t="s">
        <v>1099</v>
      </c>
      <c r="E234" s="1" t="s">
        <v>396</v>
      </c>
      <c r="F234" s="1" t="s">
        <v>397</v>
      </c>
      <c r="G234" s="1" t="s">
        <v>550</v>
      </c>
      <c r="H234" s="1" t="s">
        <v>551</v>
      </c>
      <c r="I234" s="11">
        <v>0.95299999999999996</v>
      </c>
    </row>
    <row r="235" spans="1:9" ht="15" customHeight="1" x14ac:dyDescent="0.25">
      <c r="A235" s="1" t="s">
        <v>555</v>
      </c>
      <c r="B235" s="1" t="s">
        <v>822</v>
      </c>
      <c r="C235" s="1" t="s">
        <v>416</v>
      </c>
      <c r="D235" s="1" t="s">
        <v>74</v>
      </c>
      <c r="E235" s="1" t="s">
        <v>417</v>
      </c>
      <c r="F235" s="1" t="s">
        <v>418</v>
      </c>
      <c r="G235" s="1" t="s">
        <v>551</v>
      </c>
      <c r="H235" s="1" t="s">
        <v>550</v>
      </c>
    </row>
    <row r="236" spans="1:9" x14ac:dyDescent="0.25">
      <c r="A236" s="1" t="s">
        <v>555</v>
      </c>
      <c r="B236" s="1" t="s">
        <v>822</v>
      </c>
      <c r="C236" s="1" t="s">
        <v>416</v>
      </c>
      <c r="D236" s="1" t="s">
        <v>1099</v>
      </c>
      <c r="E236" s="1" t="s">
        <v>419</v>
      </c>
      <c r="F236" s="1" t="s">
        <v>420</v>
      </c>
      <c r="G236" s="1" t="s">
        <v>550</v>
      </c>
      <c r="H236" s="1" t="s">
        <v>551</v>
      </c>
      <c r="I236" s="11">
        <v>0.28000000000000003</v>
      </c>
    </row>
    <row r="237" spans="1:9" x14ac:dyDescent="0.25">
      <c r="A237" s="1" t="s">
        <v>555</v>
      </c>
      <c r="B237" s="1" t="s">
        <v>822</v>
      </c>
      <c r="C237" s="1" t="s">
        <v>416</v>
      </c>
      <c r="D237" s="1" t="s">
        <v>1099</v>
      </c>
      <c r="E237" s="1" t="s">
        <v>421</v>
      </c>
      <c r="F237" s="1" t="s">
        <v>422</v>
      </c>
      <c r="G237" s="1" t="s">
        <v>550</v>
      </c>
      <c r="H237" s="1" t="s">
        <v>551</v>
      </c>
      <c r="I237" s="11">
        <v>0.28000000000000003</v>
      </c>
    </row>
    <row r="238" spans="1:9" x14ac:dyDescent="0.25">
      <c r="A238" s="1" t="s">
        <v>555</v>
      </c>
      <c r="B238" s="1" t="s">
        <v>822</v>
      </c>
      <c r="C238" s="1" t="s">
        <v>416</v>
      </c>
      <c r="D238" s="1" t="s">
        <v>1099</v>
      </c>
      <c r="E238" s="1" t="s">
        <v>423</v>
      </c>
      <c r="F238" s="1" t="s">
        <v>424</v>
      </c>
      <c r="G238" s="1" t="s">
        <v>550</v>
      </c>
      <c r="H238" s="1" t="s">
        <v>551</v>
      </c>
      <c r="I238" s="11">
        <v>0.16</v>
      </c>
    </row>
    <row r="239" spans="1:9" x14ac:dyDescent="0.25">
      <c r="A239" s="1" t="s">
        <v>555</v>
      </c>
      <c r="B239" s="1" t="s">
        <v>822</v>
      </c>
      <c r="C239" s="1" t="s">
        <v>416</v>
      </c>
      <c r="D239" s="1" t="s">
        <v>1099</v>
      </c>
      <c r="E239" s="1" t="s">
        <v>425</v>
      </c>
      <c r="F239" s="1" t="s">
        <v>426</v>
      </c>
      <c r="G239" s="1" t="s">
        <v>550</v>
      </c>
      <c r="H239" s="1" t="s">
        <v>551</v>
      </c>
      <c r="I239" s="11">
        <v>0.28000000000000003</v>
      </c>
    </row>
    <row r="240" spans="1:9" x14ac:dyDescent="0.25">
      <c r="A240" s="1" t="s">
        <v>556</v>
      </c>
      <c r="B240" s="1" t="s">
        <v>427</v>
      </c>
      <c r="C240" s="1" t="s">
        <v>428</v>
      </c>
      <c r="D240" s="1" t="s">
        <v>74</v>
      </c>
      <c r="E240" s="1" t="s">
        <v>431</v>
      </c>
      <c r="F240" s="1" t="s">
        <v>432</v>
      </c>
      <c r="G240" s="1" t="s">
        <v>550</v>
      </c>
      <c r="H240" s="1" t="s">
        <v>551</v>
      </c>
      <c r="I240" s="11">
        <v>0</v>
      </c>
    </row>
    <row r="241" spans="1:9" x14ac:dyDescent="0.25">
      <c r="A241" s="1" t="s">
        <v>556</v>
      </c>
      <c r="B241" s="1" t="s">
        <v>427</v>
      </c>
      <c r="C241" s="1" t="s">
        <v>428</v>
      </c>
      <c r="D241" s="1" t="s">
        <v>74</v>
      </c>
      <c r="E241" s="1" t="s">
        <v>429</v>
      </c>
      <c r="F241" s="1" t="s">
        <v>430</v>
      </c>
      <c r="G241" s="1" t="s">
        <v>551</v>
      </c>
      <c r="H241" s="1" t="s">
        <v>551</v>
      </c>
      <c r="I241" s="11">
        <v>0</v>
      </c>
    </row>
    <row r="242" spans="1:9" x14ac:dyDescent="0.25">
      <c r="A242" s="1" t="s">
        <v>556</v>
      </c>
      <c r="B242" s="1" t="s">
        <v>427</v>
      </c>
      <c r="C242" s="1" t="s">
        <v>428</v>
      </c>
      <c r="D242" s="1" t="s">
        <v>1099</v>
      </c>
      <c r="E242" s="1" t="s">
        <v>433</v>
      </c>
      <c r="F242" s="1" t="s">
        <v>434</v>
      </c>
      <c r="G242" s="1" t="s">
        <v>550</v>
      </c>
      <c r="H242" s="1" t="s">
        <v>551</v>
      </c>
      <c r="I242" s="11">
        <v>0</v>
      </c>
    </row>
    <row r="243" spans="1:9" x14ac:dyDescent="0.25">
      <c r="A243" s="1" t="s">
        <v>556</v>
      </c>
      <c r="B243" s="1" t="s">
        <v>435</v>
      </c>
      <c r="C243" s="1" t="s">
        <v>434</v>
      </c>
      <c r="D243" s="1" t="s">
        <v>74</v>
      </c>
      <c r="E243" s="1" t="s">
        <v>429</v>
      </c>
      <c r="F243" s="1" t="s">
        <v>430</v>
      </c>
      <c r="G243" s="1" t="s">
        <v>551</v>
      </c>
      <c r="H243" s="1" t="s">
        <v>550</v>
      </c>
    </row>
    <row r="244" spans="1:9" x14ac:dyDescent="0.25">
      <c r="A244" s="1" t="s">
        <v>556</v>
      </c>
      <c r="B244" s="1" t="s">
        <v>435</v>
      </c>
      <c r="C244" s="1" t="s">
        <v>434</v>
      </c>
      <c r="D244" s="1" t="s">
        <v>74</v>
      </c>
      <c r="E244" s="1" t="s">
        <v>436</v>
      </c>
      <c r="F244" s="1" t="s">
        <v>437</v>
      </c>
      <c r="G244" s="1" t="s">
        <v>550</v>
      </c>
      <c r="H244" s="1" t="s">
        <v>551</v>
      </c>
      <c r="I244" s="11">
        <v>4.7500000000000001E-2</v>
      </c>
    </row>
    <row r="245" spans="1:9" x14ac:dyDescent="0.25">
      <c r="A245" s="1" t="s">
        <v>556</v>
      </c>
      <c r="B245" s="1" t="s">
        <v>435</v>
      </c>
      <c r="C245" s="1" t="s">
        <v>434</v>
      </c>
      <c r="D245" s="1" t="s">
        <v>74</v>
      </c>
      <c r="E245" s="1" t="s">
        <v>438</v>
      </c>
      <c r="F245" s="1" t="s">
        <v>439</v>
      </c>
      <c r="G245" s="1" t="s">
        <v>550</v>
      </c>
      <c r="H245" s="1" t="s">
        <v>551</v>
      </c>
      <c r="I245" s="11">
        <v>0.3175</v>
      </c>
    </row>
    <row r="246" spans="1:9" x14ac:dyDescent="0.25">
      <c r="A246" s="1" t="s">
        <v>556</v>
      </c>
      <c r="B246" s="1" t="s">
        <v>435</v>
      </c>
      <c r="C246" s="1" t="s">
        <v>434</v>
      </c>
      <c r="D246" s="1" t="s">
        <v>74</v>
      </c>
      <c r="E246" s="1" t="s">
        <v>440</v>
      </c>
      <c r="F246" s="1" t="s">
        <v>441</v>
      </c>
      <c r="G246" s="1" t="s">
        <v>550</v>
      </c>
      <c r="H246" s="1" t="s">
        <v>551</v>
      </c>
      <c r="I246" s="11">
        <v>0.3175</v>
      </c>
    </row>
    <row r="247" spans="1:9" x14ac:dyDescent="0.25">
      <c r="A247" s="1" t="s">
        <v>556</v>
      </c>
      <c r="B247" s="1" t="s">
        <v>435</v>
      </c>
      <c r="C247" s="1" t="s">
        <v>434</v>
      </c>
      <c r="D247" s="1" t="s">
        <v>74</v>
      </c>
      <c r="E247" s="1" t="s">
        <v>442</v>
      </c>
      <c r="F247" s="1" t="s">
        <v>443</v>
      </c>
      <c r="G247" s="1" t="s">
        <v>550</v>
      </c>
      <c r="H247" s="1" t="s">
        <v>551</v>
      </c>
      <c r="I247" s="11">
        <v>0.3175</v>
      </c>
    </row>
    <row r="248" spans="1:9" x14ac:dyDescent="0.25">
      <c r="A248" s="1" t="s">
        <v>556</v>
      </c>
      <c r="B248" s="1" t="s">
        <v>444</v>
      </c>
      <c r="C248" s="1" t="s">
        <v>445</v>
      </c>
      <c r="D248" s="1" t="s">
        <v>74</v>
      </c>
      <c r="E248" s="1" t="s">
        <v>440</v>
      </c>
      <c r="F248" s="1" t="s">
        <v>441</v>
      </c>
      <c r="G248" s="1" t="s">
        <v>551</v>
      </c>
      <c r="H248" s="1" t="s">
        <v>551</v>
      </c>
      <c r="I248" s="11">
        <v>0.1</v>
      </c>
    </row>
    <row r="249" spans="1:9" x14ac:dyDescent="0.25">
      <c r="A249" s="1" t="s">
        <v>556</v>
      </c>
      <c r="B249" s="1" t="s">
        <v>444</v>
      </c>
      <c r="C249" s="1" t="s">
        <v>445</v>
      </c>
      <c r="D249" s="1" t="s">
        <v>74</v>
      </c>
      <c r="E249" s="1" t="s">
        <v>446</v>
      </c>
      <c r="F249" s="1" t="s">
        <v>447</v>
      </c>
      <c r="G249" s="1" t="s">
        <v>550</v>
      </c>
      <c r="H249" s="1" t="s">
        <v>551</v>
      </c>
      <c r="I249" s="11">
        <v>0.23</v>
      </c>
    </row>
    <row r="250" spans="1:9" x14ac:dyDescent="0.25">
      <c r="A250" s="1" t="s">
        <v>556</v>
      </c>
      <c r="B250" s="1" t="s">
        <v>444</v>
      </c>
      <c r="C250" s="1" t="s">
        <v>445</v>
      </c>
      <c r="D250" s="1" t="s">
        <v>74</v>
      </c>
      <c r="E250" s="1" t="s">
        <v>448</v>
      </c>
      <c r="F250" s="1" t="s">
        <v>449</v>
      </c>
      <c r="G250" s="1" t="s">
        <v>550</v>
      </c>
      <c r="H250" s="1" t="s">
        <v>551</v>
      </c>
      <c r="I250" s="11">
        <v>0.22500000000000001</v>
      </c>
    </row>
    <row r="251" spans="1:9" x14ac:dyDescent="0.25">
      <c r="A251" s="1" t="s">
        <v>556</v>
      </c>
      <c r="B251" s="1" t="s">
        <v>444</v>
      </c>
      <c r="C251" s="1" t="s">
        <v>445</v>
      </c>
      <c r="D251" s="1" t="s">
        <v>74</v>
      </c>
      <c r="E251" s="1" t="s">
        <v>450</v>
      </c>
      <c r="F251" s="1" t="s">
        <v>451</v>
      </c>
      <c r="G251" s="1" t="s">
        <v>550</v>
      </c>
      <c r="H251" s="1" t="s">
        <v>551</v>
      </c>
      <c r="I251" s="11">
        <v>0.222</v>
      </c>
    </row>
    <row r="252" spans="1:9" x14ac:dyDescent="0.25">
      <c r="A252" s="1" t="s">
        <v>556</v>
      </c>
      <c r="B252" s="1" t="s">
        <v>444</v>
      </c>
      <c r="C252" s="1" t="s">
        <v>445</v>
      </c>
      <c r="D252" s="1" t="s">
        <v>74</v>
      </c>
      <c r="E252" s="1" t="s">
        <v>452</v>
      </c>
      <c r="F252" s="1" t="s">
        <v>453</v>
      </c>
      <c r="G252" s="1" t="s">
        <v>550</v>
      </c>
      <c r="H252" s="1" t="s">
        <v>551</v>
      </c>
      <c r="I252" s="11">
        <v>0.22500000000000001</v>
      </c>
    </row>
    <row r="253" spans="1:9" x14ac:dyDescent="0.25">
      <c r="A253" s="1" t="s">
        <v>556</v>
      </c>
      <c r="B253" s="1" t="s">
        <v>454</v>
      </c>
      <c r="C253" s="1" t="s">
        <v>455</v>
      </c>
      <c r="D253" s="1" t="s">
        <v>74</v>
      </c>
      <c r="E253" s="1" t="s">
        <v>438</v>
      </c>
      <c r="F253" s="1" t="s">
        <v>439</v>
      </c>
      <c r="G253" s="1" t="s">
        <v>551</v>
      </c>
      <c r="H253" s="1" t="s">
        <v>551</v>
      </c>
      <c r="I253" s="11">
        <v>0.1</v>
      </c>
    </row>
    <row r="254" spans="1:9" x14ac:dyDescent="0.25">
      <c r="A254" s="1" t="s">
        <v>556</v>
      </c>
      <c r="B254" s="1" t="s">
        <v>454</v>
      </c>
      <c r="C254" s="1" t="s">
        <v>455</v>
      </c>
      <c r="D254" s="1" t="s">
        <v>74</v>
      </c>
      <c r="E254" s="1" t="s">
        <v>456</v>
      </c>
      <c r="F254" s="1" t="s">
        <v>457</v>
      </c>
      <c r="G254" s="1" t="s">
        <v>550</v>
      </c>
      <c r="H254" s="1" t="s">
        <v>551</v>
      </c>
      <c r="I254" s="11">
        <v>0.3</v>
      </c>
    </row>
    <row r="255" spans="1:9" x14ac:dyDescent="0.25">
      <c r="A255" s="1" t="s">
        <v>556</v>
      </c>
      <c r="B255" s="1" t="s">
        <v>454</v>
      </c>
      <c r="C255" s="1" t="s">
        <v>455</v>
      </c>
      <c r="D255" s="1" t="s">
        <v>74</v>
      </c>
      <c r="E255" s="1" t="s">
        <v>458</v>
      </c>
      <c r="F255" s="1" t="s">
        <v>459</v>
      </c>
      <c r="G255" s="1" t="s">
        <v>550</v>
      </c>
      <c r="H255" s="1" t="s">
        <v>551</v>
      </c>
      <c r="I255" s="11">
        <v>0.3</v>
      </c>
    </row>
    <row r="256" spans="1:9" x14ac:dyDescent="0.25">
      <c r="A256" s="1" t="s">
        <v>556</v>
      </c>
      <c r="B256" s="1" t="s">
        <v>454</v>
      </c>
      <c r="C256" s="1" t="s">
        <v>455</v>
      </c>
      <c r="D256" s="1" t="s">
        <v>74</v>
      </c>
      <c r="E256" s="1" t="s">
        <v>460</v>
      </c>
      <c r="F256" s="1" t="s">
        <v>461</v>
      </c>
      <c r="G256" s="1" t="s">
        <v>550</v>
      </c>
      <c r="H256" s="1" t="s">
        <v>551</v>
      </c>
      <c r="I256" s="11">
        <v>0.3</v>
      </c>
    </row>
    <row r="257" spans="1:9" x14ac:dyDescent="0.25">
      <c r="A257" s="1" t="s">
        <v>556</v>
      </c>
      <c r="B257" s="1" t="s">
        <v>462</v>
      </c>
      <c r="C257" s="1" t="s">
        <v>463</v>
      </c>
      <c r="D257" s="1" t="s">
        <v>74</v>
      </c>
      <c r="E257" s="1" t="s">
        <v>442</v>
      </c>
      <c r="F257" s="1" t="s">
        <v>443</v>
      </c>
      <c r="G257" s="1" t="s">
        <v>551</v>
      </c>
      <c r="H257" s="1" t="s">
        <v>551</v>
      </c>
      <c r="I257" s="11">
        <v>0.1</v>
      </c>
    </row>
    <row r="258" spans="1:9" x14ac:dyDescent="0.25">
      <c r="A258" s="1" t="s">
        <v>556</v>
      </c>
      <c r="B258" s="1" t="s">
        <v>462</v>
      </c>
      <c r="C258" s="1" t="s">
        <v>463</v>
      </c>
      <c r="D258" s="1" t="s">
        <v>74</v>
      </c>
      <c r="E258" s="1" t="s">
        <v>464</v>
      </c>
      <c r="F258" s="1" t="s">
        <v>465</v>
      </c>
      <c r="G258" s="1" t="s">
        <v>550</v>
      </c>
      <c r="H258" s="1" t="s">
        <v>551</v>
      </c>
      <c r="I258" s="11">
        <v>0.3</v>
      </c>
    </row>
    <row r="259" spans="1:9" x14ac:dyDescent="0.25">
      <c r="A259" s="1" t="s">
        <v>556</v>
      </c>
      <c r="B259" s="1" t="s">
        <v>462</v>
      </c>
      <c r="C259" s="1" t="s">
        <v>463</v>
      </c>
      <c r="D259" s="1" t="s">
        <v>74</v>
      </c>
      <c r="E259" s="1" t="s">
        <v>466</v>
      </c>
      <c r="F259" s="1" t="s">
        <v>467</v>
      </c>
      <c r="G259" s="1" t="s">
        <v>550</v>
      </c>
      <c r="H259" s="1" t="s">
        <v>551</v>
      </c>
      <c r="I259" s="11">
        <v>0.3</v>
      </c>
    </row>
    <row r="260" spans="1:9" x14ac:dyDescent="0.25">
      <c r="A260" s="1" t="s">
        <v>556</v>
      </c>
      <c r="B260" s="1" t="s">
        <v>462</v>
      </c>
      <c r="C260" s="1" t="s">
        <v>463</v>
      </c>
      <c r="D260" s="1" t="s">
        <v>74</v>
      </c>
      <c r="E260" s="1" t="s">
        <v>468</v>
      </c>
      <c r="F260" s="1" t="s">
        <v>469</v>
      </c>
      <c r="G260" s="1" t="s">
        <v>550</v>
      </c>
      <c r="H260" s="1" t="s">
        <v>551</v>
      </c>
      <c r="I260" s="11">
        <v>0.3</v>
      </c>
    </row>
    <row r="261" spans="1:9" x14ac:dyDescent="0.25">
      <c r="A261" s="1" t="s">
        <v>557</v>
      </c>
      <c r="B261" s="1" t="s">
        <v>470</v>
      </c>
      <c r="C261" s="1" t="s">
        <v>471</v>
      </c>
      <c r="D261" s="1" t="s">
        <v>74</v>
      </c>
      <c r="E261" s="1" t="s">
        <v>472</v>
      </c>
      <c r="F261" s="1" t="s">
        <v>473</v>
      </c>
      <c r="G261" s="1" t="s">
        <v>551</v>
      </c>
      <c r="H261" s="1" t="s">
        <v>550</v>
      </c>
    </row>
    <row r="262" spans="1:9" x14ac:dyDescent="0.25">
      <c r="A262" s="1" t="s">
        <v>557</v>
      </c>
      <c r="B262" s="1" t="s">
        <v>470</v>
      </c>
      <c r="C262" s="1" t="s">
        <v>471</v>
      </c>
      <c r="D262" s="1" t="s">
        <v>74</v>
      </c>
      <c r="E262" s="1" t="s">
        <v>474</v>
      </c>
      <c r="F262" s="1" t="s">
        <v>475</v>
      </c>
      <c r="G262" s="1" t="s">
        <v>550</v>
      </c>
      <c r="H262" s="1" t="s">
        <v>551</v>
      </c>
      <c r="I262" s="11">
        <v>0.33329999999999999</v>
      </c>
    </row>
    <row r="263" spans="1:9" x14ac:dyDescent="0.25">
      <c r="A263" s="1" t="s">
        <v>557</v>
      </c>
      <c r="B263" s="1" t="s">
        <v>470</v>
      </c>
      <c r="C263" s="1" t="s">
        <v>471</v>
      </c>
      <c r="D263" s="1" t="s">
        <v>74</v>
      </c>
      <c r="E263" s="1" t="s">
        <v>476</v>
      </c>
      <c r="F263" s="1" t="s">
        <v>477</v>
      </c>
      <c r="G263" s="1" t="s">
        <v>550</v>
      </c>
      <c r="H263" s="1" t="s">
        <v>551</v>
      </c>
      <c r="I263" s="11">
        <v>0.33329999999999999</v>
      </c>
    </row>
    <row r="264" spans="1:9" x14ac:dyDescent="0.25">
      <c r="A264" s="1" t="s">
        <v>557</v>
      </c>
      <c r="B264" s="1" t="s">
        <v>470</v>
      </c>
      <c r="C264" s="1" t="s">
        <v>471</v>
      </c>
      <c r="D264" s="1" t="s">
        <v>74</v>
      </c>
      <c r="E264" s="1" t="s">
        <v>478</v>
      </c>
      <c r="F264" s="1" t="s">
        <v>479</v>
      </c>
      <c r="G264" s="1" t="s">
        <v>550</v>
      </c>
      <c r="H264" s="1" t="s">
        <v>551</v>
      </c>
      <c r="I264" s="11">
        <v>0.33329999999999999</v>
      </c>
    </row>
    <row r="265" spans="1:9" x14ac:dyDescent="0.25">
      <c r="A265" s="1" t="s">
        <v>557</v>
      </c>
      <c r="B265" s="1" t="s">
        <v>480</v>
      </c>
      <c r="C265" s="1" t="s">
        <v>481</v>
      </c>
      <c r="D265" s="1" t="s">
        <v>74</v>
      </c>
      <c r="E265" s="1" t="s">
        <v>482</v>
      </c>
      <c r="F265" s="1" t="s">
        <v>483</v>
      </c>
      <c r="G265" s="1" t="s">
        <v>551</v>
      </c>
      <c r="H265" s="1" t="s">
        <v>550</v>
      </c>
    </row>
    <row r="266" spans="1:9" x14ac:dyDescent="0.25">
      <c r="A266" s="1" t="s">
        <v>557</v>
      </c>
      <c r="B266" s="1" t="s">
        <v>480</v>
      </c>
      <c r="C266" s="1" t="s">
        <v>481</v>
      </c>
      <c r="D266" s="1" t="s">
        <v>74</v>
      </c>
      <c r="E266" s="1" t="s">
        <v>472</v>
      </c>
      <c r="F266" s="1" t="s">
        <v>473</v>
      </c>
      <c r="G266" s="1" t="s">
        <v>551</v>
      </c>
      <c r="H266" s="1" t="s">
        <v>551</v>
      </c>
      <c r="I266" s="11">
        <v>0.99990000000000001</v>
      </c>
    </row>
    <row r="267" spans="1:9" x14ac:dyDescent="0.25">
      <c r="A267" s="1" t="s">
        <v>557</v>
      </c>
      <c r="B267" s="1" t="s">
        <v>480</v>
      </c>
      <c r="C267" s="1" t="s">
        <v>481</v>
      </c>
      <c r="D267" s="1" t="s">
        <v>1099</v>
      </c>
      <c r="E267" s="1" t="s">
        <v>484</v>
      </c>
      <c r="F267" s="1" t="s">
        <v>485</v>
      </c>
      <c r="G267" s="1" t="s">
        <v>550</v>
      </c>
      <c r="H267" s="1" t="s">
        <v>551</v>
      </c>
      <c r="I267" s="11">
        <v>1E-4</v>
      </c>
    </row>
    <row r="268" spans="1:9" x14ac:dyDescent="0.25">
      <c r="A268" s="1" t="s">
        <v>557</v>
      </c>
      <c r="B268" s="1" t="s">
        <v>486</v>
      </c>
      <c r="C268" s="1" t="s">
        <v>487</v>
      </c>
      <c r="D268" s="1" t="s">
        <v>74</v>
      </c>
      <c r="E268" s="1" t="s">
        <v>472</v>
      </c>
      <c r="F268" s="1" t="s">
        <v>473</v>
      </c>
      <c r="G268" s="1" t="s">
        <v>551</v>
      </c>
      <c r="H268" s="1" t="s">
        <v>550</v>
      </c>
    </row>
    <row r="269" spans="1:9" x14ac:dyDescent="0.25">
      <c r="A269" s="1" t="s">
        <v>557</v>
      </c>
      <c r="B269" s="1" t="s">
        <v>486</v>
      </c>
      <c r="C269" s="1" t="s">
        <v>487</v>
      </c>
      <c r="D269" s="1" t="s">
        <v>74</v>
      </c>
      <c r="E269" s="1" t="s">
        <v>488</v>
      </c>
      <c r="F269" s="1" t="s">
        <v>489</v>
      </c>
      <c r="G269" s="1" t="s">
        <v>551</v>
      </c>
      <c r="H269" s="1" t="s">
        <v>551</v>
      </c>
      <c r="I269" s="11">
        <v>0.5</v>
      </c>
    </row>
    <row r="270" spans="1:9" x14ac:dyDescent="0.25">
      <c r="A270" s="1" t="s">
        <v>557</v>
      </c>
      <c r="B270" s="1" t="s">
        <v>486</v>
      </c>
      <c r="C270" s="1" t="s">
        <v>487</v>
      </c>
      <c r="D270" s="1" t="s">
        <v>1099</v>
      </c>
      <c r="E270" s="1" t="s">
        <v>470</v>
      </c>
      <c r="F270" s="1" t="s">
        <v>471</v>
      </c>
      <c r="G270" s="1" t="s">
        <v>550</v>
      </c>
      <c r="H270" s="1" t="s">
        <v>551</v>
      </c>
      <c r="I270" s="11">
        <v>0.5</v>
      </c>
    </row>
    <row r="271" spans="1:9" x14ac:dyDescent="0.25">
      <c r="A271" s="1" t="s">
        <v>558</v>
      </c>
      <c r="B271" s="1" t="s">
        <v>490</v>
      </c>
      <c r="C271" s="1" t="s">
        <v>491</v>
      </c>
      <c r="D271" s="1" t="s">
        <v>74</v>
      </c>
      <c r="E271" s="1" t="s">
        <v>492</v>
      </c>
      <c r="F271" s="1" t="s">
        <v>493</v>
      </c>
      <c r="G271" s="1" t="s">
        <v>550</v>
      </c>
      <c r="H271" s="1" t="s">
        <v>551</v>
      </c>
      <c r="I271" s="11">
        <v>0.01</v>
      </c>
    </row>
    <row r="272" spans="1:9" x14ac:dyDescent="0.25">
      <c r="A272" s="1" t="s">
        <v>558</v>
      </c>
      <c r="B272" s="1" t="s">
        <v>490</v>
      </c>
      <c r="C272" s="1" t="s">
        <v>491</v>
      </c>
      <c r="D272" s="1" t="s">
        <v>74</v>
      </c>
      <c r="E272" s="1" t="s">
        <v>472</v>
      </c>
      <c r="F272" s="1" t="s">
        <v>473</v>
      </c>
      <c r="G272" s="1" t="s">
        <v>551</v>
      </c>
      <c r="H272" s="1" t="s">
        <v>551</v>
      </c>
      <c r="I272" s="11">
        <v>0.99</v>
      </c>
    </row>
    <row r="273" spans="1:9" x14ac:dyDescent="0.25">
      <c r="A273" s="1" t="s">
        <v>494</v>
      </c>
      <c r="B273" s="1" t="s">
        <v>495</v>
      </c>
      <c r="C273" s="1" t="s">
        <v>496</v>
      </c>
      <c r="D273" s="1" t="s">
        <v>74</v>
      </c>
      <c r="E273" s="1" t="s">
        <v>499</v>
      </c>
      <c r="F273" s="1" t="s">
        <v>500</v>
      </c>
      <c r="G273" s="1" t="s">
        <v>550</v>
      </c>
      <c r="H273" s="1" t="s">
        <v>551</v>
      </c>
      <c r="I273" s="11">
        <v>6.1999999999999998E-3</v>
      </c>
    </row>
    <row r="274" spans="1:9" x14ac:dyDescent="0.25">
      <c r="A274" s="1" t="s">
        <v>494</v>
      </c>
      <c r="B274" s="1" t="s">
        <v>495</v>
      </c>
      <c r="C274" s="1" t="s">
        <v>496</v>
      </c>
      <c r="D274" s="1" t="s">
        <v>74</v>
      </c>
      <c r="E274" s="1" t="s">
        <v>503</v>
      </c>
      <c r="F274" s="1" t="s">
        <v>504</v>
      </c>
      <c r="G274" s="1" t="s">
        <v>550</v>
      </c>
      <c r="H274" s="1" t="s">
        <v>551</v>
      </c>
      <c r="I274" s="11">
        <v>0.22500000000000001</v>
      </c>
    </row>
    <row r="275" spans="1:9" x14ac:dyDescent="0.25">
      <c r="A275" s="1" t="s">
        <v>494</v>
      </c>
      <c r="B275" s="1" t="s">
        <v>495</v>
      </c>
      <c r="C275" s="1" t="s">
        <v>496</v>
      </c>
      <c r="D275" s="1" t="s">
        <v>74</v>
      </c>
      <c r="E275" s="1" t="s">
        <v>505</v>
      </c>
      <c r="F275" s="1" t="s">
        <v>506</v>
      </c>
      <c r="G275" s="1" t="s">
        <v>550</v>
      </c>
      <c r="H275" s="1" t="s">
        <v>551</v>
      </c>
      <c r="I275" s="11">
        <v>0.19220000000000001</v>
      </c>
    </row>
    <row r="276" spans="1:9" x14ac:dyDescent="0.25">
      <c r="A276" s="1" t="s">
        <v>494</v>
      </c>
      <c r="B276" s="1" t="s">
        <v>495</v>
      </c>
      <c r="C276" s="1" t="s">
        <v>496</v>
      </c>
      <c r="D276" s="1" t="s">
        <v>74</v>
      </c>
      <c r="E276" s="1" t="s">
        <v>497</v>
      </c>
      <c r="F276" s="1" t="s">
        <v>498</v>
      </c>
      <c r="G276" s="1" t="s">
        <v>551</v>
      </c>
      <c r="H276" s="1" t="s">
        <v>551</v>
      </c>
      <c r="I276" s="11">
        <v>0.19220000000000001</v>
      </c>
    </row>
    <row r="277" spans="1:9" x14ac:dyDescent="0.25">
      <c r="A277" s="1" t="s">
        <v>494</v>
      </c>
      <c r="B277" s="1" t="s">
        <v>495</v>
      </c>
      <c r="C277" s="1" t="s">
        <v>496</v>
      </c>
      <c r="D277" s="1" t="s">
        <v>74</v>
      </c>
      <c r="E277" s="1" t="s">
        <v>501</v>
      </c>
      <c r="F277" s="1" t="s">
        <v>502</v>
      </c>
      <c r="G277" s="1" t="s">
        <v>551</v>
      </c>
      <c r="H277" s="1" t="s">
        <v>551</v>
      </c>
      <c r="I277" s="11">
        <v>0.19220000000000001</v>
      </c>
    </row>
    <row r="278" spans="1:9" x14ac:dyDescent="0.25">
      <c r="A278" s="1" t="s">
        <v>494</v>
      </c>
      <c r="B278" s="1" t="s">
        <v>495</v>
      </c>
      <c r="C278" s="1" t="s">
        <v>496</v>
      </c>
      <c r="D278" s="1" t="s">
        <v>74</v>
      </c>
      <c r="E278" s="1" t="s">
        <v>507</v>
      </c>
      <c r="F278" s="1" t="s">
        <v>508</v>
      </c>
      <c r="G278" s="1" t="s">
        <v>550</v>
      </c>
      <c r="H278" s="1" t="s">
        <v>551</v>
      </c>
      <c r="I278" s="11">
        <v>0.19220000000000001</v>
      </c>
    </row>
    <row r="279" spans="1:9" x14ac:dyDescent="0.25">
      <c r="A279" s="1" t="s">
        <v>494</v>
      </c>
      <c r="B279" s="1" t="s">
        <v>509</v>
      </c>
      <c r="C279" s="1" t="s">
        <v>510</v>
      </c>
      <c r="D279" s="1" t="s">
        <v>74</v>
      </c>
      <c r="E279" s="1" t="s">
        <v>503</v>
      </c>
      <c r="F279" s="1" t="s">
        <v>504</v>
      </c>
      <c r="G279" s="1" t="s">
        <v>550</v>
      </c>
      <c r="H279" s="1" t="s">
        <v>551</v>
      </c>
      <c r="I279" s="11">
        <v>0.1</v>
      </c>
    </row>
    <row r="280" spans="1:9" x14ac:dyDescent="0.25">
      <c r="A280" s="1" t="s">
        <v>494</v>
      </c>
      <c r="B280" s="1" t="s">
        <v>509</v>
      </c>
      <c r="C280" s="1" t="s">
        <v>510</v>
      </c>
      <c r="D280" s="1" t="s">
        <v>74</v>
      </c>
      <c r="E280" s="1" t="s">
        <v>497</v>
      </c>
      <c r="F280" s="1" t="s">
        <v>498</v>
      </c>
      <c r="G280" s="1" t="s">
        <v>551</v>
      </c>
      <c r="H280" s="1" t="s">
        <v>551</v>
      </c>
      <c r="I280" s="11">
        <v>0.9</v>
      </c>
    </row>
    <row r="281" spans="1:9" x14ac:dyDescent="0.25">
      <c r="A281" s="1" t="s">
        <v>511</v>
      </c>
      <c r="B281" s="1" t="s">
        <v>512</v>
      </c>
      <c r="C281" s="1" t="s">
        <v>513</v>
      </c>
      <c r="D281" s="1" t="s">
        <v>74</v>
      </c>
      <c r="E281" s="1" t="s">
        <v>514</v>
      </c>
      <c r="F281" s="1" t="s">
        <v>515</v>
      </c>
      <c r="G281" s="1" t="s">
        <v>551</v>
      </c>
      <c r="H281" s="1" t="s">
        <v>550</v>
      </c>
      <c r="I281" s="11">
        <v>1</v>
      </c>
    </row>
    <row r="282" spans="1:9" x14ac:dyDescent="0.25">
      <c r="A282" s="1" t="s">
        <v>580</v>
      </c>
      <c r="B282" s="1" t="s">
        <v>581</v>
      </c>
      <c r="C282" s="1" t="s">
        <v>585</v>
      </c>
      <c r="D282" s="1" t="s">
        <v>74</v>
      </c>
      <c r="E282" s="1" t="s">
        <v>593</v>
      </c>
      <c r="F282" s="1" t="s">
        <v>594</v>
      </c>
      <c r="G282" s="1" t="s">
        <v>551</v>
      </c>
      <c r="H282" s="1" t="s">
        <v>550</v>
      </c>
      <c r="I282" s="1"/>
    </row>
    <row r="283" spans="1:9" x14ac:dyDescent="0.25">
      <c r="A283" s="1" t="s">
        <v>580</v>
      </c>
      <c r="B283" s="1" t="s">
        <v>581</v>
      </c>
      <c r="C283" s="1" t="s">
        <v>585</v>
      </c>
      <c r="D283" s="1" t="s">
        <v>1099</v>
      </c>
      <c r="E283" s="1" t="s">
        <v>595</v>
      </c>
      <c r="F283" s="1" t="s">
        <v>596</v>
      </c>
      <c r="G283" s="1" t="s">
        <v>550</v>
      </c>
      <c r="H283" s="1" t="s">
        <v>551</v>
      </c>
      <c r="I283" s="11">
        <v>1.4999999999999999E-2</v>
      </c>
    </row>
    <row r="284" spans="1:9" x14ac:dyDescent="0.25">
      <c r="A284" s="1" t="s">
        <v>580</v>
      </c>
      <c r="B284" s="1" t="s">
        <v>581</v>
      </c>
      <c r="C284" s="1" t="s">
        <v>585</v>
      </c>
      <c r="D284" s="1" t="s">
        <v>1099</v>
      </c>
      <c r="E284" s="1" t="s">
        <v>597</v>
      </c>
      <c r="F284" s="1" t="s">
        <v>598</v>
      </c>
      <c r="G284" s="1" t="s">
        <v>550</v>
      </c>
      <c r="H284" s="1" t="s">
        <v>551</v>
      </c>
      <c r="I284" s="11">
        <v>0.98499999999999999</v>
      </c>
    </row>
    <row r="285" spans="1:9" x14ac:dyDescent="0.25">
      <c r="A285" s="1" t="s">
        <v>580</v>
      </c>
      <c r="B285" s="1" t="s">
        <v>582</v>
      </c>
      <c r="C285" s="1" t="s">
        <v>586</v>
      </c>
      <c r="D285" s="1" t="s">
        <v>74</v>
      </c>
      <c r="E285" s="1" t="s">
        <v>599</v>
      </c>
      <c r="F285" s="1" t="s">
        <v>600</v>
      </c>
      <c r="G285" s="1" t="s">
        <v>551</v>
      </c>
      <c r="H285" s="1" t="s">
        <v>551</v>
      </c>
      <c r="I285" s="11">
        <v>0.5</v>
      </c>
    </row>
    <row r="286" spans="1:9" x14ac:dyDescent="0.25">
      <c r="A286" s="1" t="s">
        <v>580</v>
      </c>
      <c r="B286" s="1" t="s">
        <v>582</v>
      </c>
      <c r="C286" s="1" t="s">
        <v>586</v>
      </c>
      <c r="D286" s="1" t="s">
        <v>74</v>
      </c>
      <c r="E286" s="1" t="s">
        <v>593</v>
      </c>
      <c r="F286" s="1" t="s">
        <v>594</v>
      </c>
      <c r="G286" s="1" t="s">
        <v>551</v>
      </c>
      <c r="H286" s="1" t="s">
        <v>551</v>
      </c>
      <c r="I286" s="11">
        <v>0.5</v>
      </c>
    </row>
    <row r="287" spans="1:9" x14ac:dyDescent="0.25">
      <c r="A287" s="1" t="s">
        <v>580</v>
      </c>
      <c r="B287" s="1" t="s">
        <v>583</v>
      </c>
      <c r="C287" s="1" t="s">
        <v>587</v>
      </c>
      <c r="D287" s="1" t="s">
        <v>74</v>
      </c>
      <c r="E287" s="1" t="s">
        <v>599</v>
      </c>
      <c r="F287" s="1" t="s">
        <v>600</v>
      </c>
      <c r="G287" s="1" t="s">
        <v>551</v>
      </c>
      <c r="H287" s="1" t="s">
        <v>550</v>
      </c>
    </row>
    <row r="288" spans="1:9" x14ac:dyDescent="0.25">
      <c r="A288" s="1" t="s">
        <v>580</v>
      </c>
      <c r="B288" s="1" t="s">
        <v>583</v>
      </c>
      <c r="C288" s="1" t="s">
        <v>587</v>
      </c>
      <c r="D288" s="1" t="s">
        <v>74</v>
      </c>
      <c r="E288" s="1" t="s">
        <v>593</v>
      </c>
      <c r="F288" s="1" t="s">
        <v>594</v>
      </c>
      <c r="G288" s="1" t="s">
        <v>551</v>
      </c>
      <c r="H288" s="1" t="s">
        <v>550</v>
      </c>
    </row>
    <row r="289" spans="1:9" x14ac:dyDescent="0.25">
      <c r="A289" s="1" t="s">
        <v>580</v>
      </c>
      <c r="B289" s="1" t="s">
        <v>583</v>
      </c>
      <c r="C289" s="1" t="s">
        <v>587</v>
      </c>
      <c r="D289" s="1" t="s">
        <v>74</v>
      </c>
      <c r="E289" s="1" t="s">
        <v>601</v>
      </c>
      <c r="F289" s="1" t="s">
        <v>602</v>
      </c>
      <c r="G289" s="1" t="s">
        <v>550</v>
      </c>
      <c r="H289" s="1" t="s">
        <v>551</v>
      </c>
      <c r="I289" s="11">
        <v>0.24879999999999999</v>
      </c>
    </row>
    <row r="290" spans="1:9" x14ac:dyDescent="0.25">
      <c r="A290" s="1" t="s">
        <v>580</v>
      </c>
      <c r="B290" s="1" t="s">
        <v>583</v>
      </c>
      <c r="C290" s="1" t="s">
        <v>587</v>
      </c>
      <c r="D290" s="1" t="s">
        <v>74</v>
      </c>
      <c r="E290" s="1" t="s">
        <v>603</v>
      </c>
      <c r="F290" s="1" t="s">
        <v>604</v>
      </c>
      <c r="G290" s="1" t="s">
        <v>550</v>
      </c>
      <c r="H290" s="1" t="s">
        <v>551</v>
      </c>
      <c r="I290" s="11">
        <v>0.24879999999999999</v>
      </c>
    </row>
    <row r="291" spans="1:9" x14ac:dyDescent="0.25">
      <c r="A291" s="1" t="s">
        <v>580</v>
      </c>
      <c r="B291" s="1" t="s">
        <v>583</v>
      </c>
      <c r="C291" s="1" t="s">
        <v>587</v>
      </c>
      <c r="D291" s="1" t="s">
        <v>74</v>
      </c>
      <c r="E291" s="1" t="s">
        <v>605</v>
      </c>
      <c r="F291" s="1" t="s">
        <v>606</v>
      </c>
      <c r="G291" s="1" t="s">
        <v>550</v>
      </c>
      <c r="H291" s="1" t="s">
        <v>551</v>
      </c>
      <c r="I291" s="11">
        <v>0.2487</v>
      </c>
    </row>
    <row r="292" spans="1:9" x14ac:dyDescent="0.25">
      <c r="A292" s="1" t="s">
        <v>580</v>
      </c>
      <c r="B292" s="1" t="s">
        <v>583</v>
      </c>
      <c r="C292" s="1" t="s">
        <v>587</v>
      </c>
      <c r="D292" s="1" t="s">
        <v>74</v>
      </c>
      <c r="E292" s="1" t="s">
        <v>607</v>
      </c>
      <c r="F292" s="1" t="s">
        <v>608</v>
      </c>
      <c r="G292" s="1" t="s">
        <v>550</v>
      </c>
      <c r="H292" s="1" t="s">
        <v>551</v>
      </c>
      <c r="I292" s="11">
        <v>0.2487</v>
      </c>
    </row>
    <row r="293" spans="1:9" x14ac:dyDescent="0.25">
      <c r="A293" s="1" t="s">
        <v>580</v>
      </c>
      <c r="B293" s="1" t="s">
        <v>583</v>
      </c>
      <c r="C293" s="1" t="s">
        <v>587</v>
      </c>
      <c r="D293" s="1" t="s">
        <v>1099</v>
      </c>
      <c r="E293" s="1" t="s">
        <v>595</v>
      </c>
      <c r="F293" s="1" t="s">
        <v>596</v>
      </c>
      <c r="G293" s="1" t="s">
        <v>550</v>
      </c>
      <c r="H293" s="1" t="s">
        <v>551</v>
      </c>
      <c r="I293" s="11">
        <v>5.0000000000000001E-3</v>
      </c>
    </row>
    <row r="294" spans="1:9" x14ac:dyDescent="0.25">
      <c r="A294" s="1" t="s">
        <v>580</v>
      </c>
      <c r="B294" s="1" t="s">
        <v>584</v>
      </c>
      <c r="C294" s="1" t="s">
        <v>588</v>
      </c>
      <c r="D294" s="1" t="s">
        <v>74</v>
      </c>
      <c r="E294" s="1" t="s">
        <v>607</v>
      </c>
      <c r="F294" s="1" t="s">
        <v>608</v>
      </c>
      <c r="G294" s="1" t="s">
        <v>551</v>
      </c>
      <c r="H294" s="1" t="s">
        <v>551</v>
      </c>
      <c r="I294" s="11">
        <v>0.98080000000000001</v>
      </c>
    </row>
    <row r="295" spans="1:9" x14ac:dyDescent="0.25">
      <c r="A295" s="1" t="s">
        <v>580</v>
      </c>
      <c r="B295" s="1" t="s">
        <v>584</v>
      </c>
      <c r="C295" s="1" t="s">
        <v>588</v>
      </c>
      <c r="D295" s="1" t="s">
        <v>74</v>
      </c>
      <c r="E295" s="1" t="s">
        <v>609</v>
      </c>
      <c r="F295" s="1" t="s">
        <v>610</v>
      </c>
      <c r="G295" s="1" t="s">
        <v>551</v>
      </c>
      <c r="H295" s="1" t="s">
        <v>551</v>
      </c>
      <c r="I295" s="11">
        <v>1.9199999999999998E-2</v>
      </c>
    </row>
    <row r="296" spans="1:9" x14ac:dyDescent="0.25">
      <c r="A296" s="1" t="s">
        <v>611</v>
      </c>
      <c r="B296" s="1" t="s">
        <v>713</v>
      </c>
      <c r="C296" s="1" t="s">
        <v>612</v>
      </c>
      <c r="D296" s="1" t="s">
        <v>74</v>
      </c>
      <c r="E296" s="1" t="s">
        <v>836</v>
      </c>
      <c r="F296" s="1" t="s">
        <v>837</v>
      </c>
      <c r="G296" s="1" t="s">
        <v>551</v>
      </c>
      <c r="H296" s="1" t="s">
        <v>550</v>
      </c>
    </row>
    <row r="297" spans="1:9" x14ac:dyDescent="0.25">
      <c r="A297" s="1" t="s">
        <v>611</v>
      </c>
      <c r="B297" s="1" t="s">
        <v>713</v>
      </c>
      <c r="C297" s="1" t="s">
        <v>612</v>
      </c>
      <c r="D297" s="1" t="s">
        <v>74</v>
      </c>
      <c r="E297" s="1" t="s">
        <v>838</v>
      </c>
      <c r="F297" s="1" t="s">
        <v>839</v>
      </c>
      <c r="G297" s="1" t="s">
        <v>551</v>
      </c>
      <c r="H297" s="1" t="s">
        <v>550</v>
      </c>
    </row>
    <row r="298" spans="1:9" x14ac:dyDescent="0.25">
      <c r="A298" s="1" t="s">
        <v>611</v>
      </c>
      <c r="B298" s="1" t="s">
        <v>713</v>
      </c>
      <c r="C298" s="1" t="s">
        <v>612</v>
      </c>
      <c r="D298" s="1" t="s">
        <v>74</v>
      </c>
      <c r="E298" s="1" t="s">
        <v>840</v>
      </c>
      <c r="F298" s="1" t="s">
        <v>841</v>
      </c>
      <c r="G298" s="1" t="s">
        <v>551</v>
      </c>
      <c r="H298" s="1" t="s">
        <v>550</v>
      </c>
    </row>
    <row r="299" spans="1:9" x14ac:dyDescent="0.25">
      <c r="A299" s="1" t="s">
        <v>611</v>
      </c>
      <c r="B299" s="1" t="s">
        <v>713</v>
      </c>
      <c r="C299" s="1" t="s">
        <v>612</v>
      </c>
      <c r="D299" s="1" t="s">
        <v>74</v>
      </c>
      <c r="E299" s="1" t="s">
        <v>842</v>
      </c>
      <c r="F299" s="1" t="s">
        <v>843</v>
      </c>
      <c r="G299" s="1" t="s">
        <v>551</v>
      </c>
      <c r="H299" s="1" t="s">
        <v>550</v>
      </c>
    </row>
    <row r="300" spans="1:9" x14ac:dyDescent="0.25">
      <c r="A300" s="1" t="s">
        <v>611</v>
      </c>
      <c r="B300" s="1" t="s">
        <v>713</v>
      </c>
      <c r="C300" s="1" t="s">
        <v>612</v>
      </c>
      <c r="D300" s="1" t="s">
        <v>74</v>
      </c>
      <c r="E300" s="1" t="s">
        <v>844</v>
      </c>
      <c r="F300" s="1" t="s">
        <v>845</v>
      </c>
      <c r="G300" s="1" t="s">
        <v>551</v>
      </c>
      <c r="H300" s="1" t="s">
        <v>550</v>
      </c>
    </row>
    <row r="301" spans="1:9" x14ac:dyDescent="0.25">
      <c r="A301" s="1" t="s">
        <v>611</v>
      </c>
      <c r="B301" s="1" t="s">
        <v>713</v>
      </c>
      <c r="C301" s="1" t="s">
        <v>612</v>
      </c>
      <c r="D301" s="1" t="s">
        <v>74</v>
      </c>
      <c r="E301" s="1" t="s">
        <v>846</v>
      </c>
      <c r="F301" s="1" t="s">
        <v>847</v>
      </c>
      <c r="G301" s="1" t="s">
        <v>551</v>
      </c>
      <c r="H301" s="1" t="s">
        <v>550</v>
      </c>
    </row>
    <row r="302" spans="1:9" x14ac:dyDescent="0.25">
      <c r="A302" s="1" t="s">
        <v>611</v>
      </c>
      <c r="B302" s="1" t="s">
        <v>713</v>
      </c>
      <c r="C302" s="1" t="s">
        <v>612</v>
      </c>
      <c r="D302" s="1" t="s">
        <v>74</v>
      </c>
      <c r="E302" s="1" t="s">
        <v>848</v>
      </c>
      <c r="F302" s="1" t="s">
        <v>849</v>
      </c>
      <c r="G302" s="1" t="s">
        <v>551</v>
      </c>
      <c r="H302" s="1" t="s">
        <v>550</v>
      </c>
    </row>
    <row r="303" spans="1:9" x14ac:dyDescent="0.25">
      <c r="A303" s="1" t="s">
        <v>611</v>
      </c>
      <c r="B303" s="1" t="s">
        <v>713</v>
      </c>
      <c r="C303" s="1" t="s">
        <v>612</v>
      </c>
      <c r="D303" s="1" t="s">
        <v>74</v>
      </c>
      <c r="E303" s="1" t="s">
        <v>850</v>
      </c>
      <c r="F303" s="1" t="s">
        <v>851</v>
      </c>
      <c r="G303" s="1" t="s">
        <v>551</v>
      </c>
      <c r="H303" s="1" t="s">
        <v>550</v>
      </c>
    </row>
    <row r="304" spans="1:9" x14ac:dyDescent="0.25">
      <c r="A304" s="1" t="s">
        <v>611</v>
      </c>
      <c r="B304" s="1" t="s">
        <v>713</v>
      </c>
      <c r="C304" s="1" t="s">
        <v>612</v>
      </c>
      <c r="D304" s="1" t="s">
        <v>74</v>
      </c>
      <c r="E304" s="1" t="s">
        <v>852</v>
      </c>
      <c r="F304" s="1" t="s">
        <v>853</v>
      </c>
      <c r="G304" s="1" t="s">
        <v>551</v>
      </c>
      <c r="H304" s="1" t="s">
        <v>550</v>
      </c>
    </row>
    <row r="305" spans="1:9" x14ac:dyDescent="0.25">
      <c r="A305" s="1" t="s">
        <v>611</v>
      </c>
      <c r="B305" s="1" t="s">
        <v>713</v>
      </c>
      <c r="C305" s="1" t="s">
        <v>612</v>
      </c>
      <c r="D305" s="1" t="s">
        <v>1099</v>
      </c>
      <c r="E305" s="1" t="s">
        <v>854</v>
      </c>
      <c r="F305" s="1" t="s">
        <v>855</v>
      </c>
      <c r="G305" s="1" t="s">
        <v>550</v>
      </c>
      <c r="H305" s="1" t="s">
        <v>551</v>
      </c>
      <c r="I305" s="11">
        <v>1</v>
      </c>
    </row>
    <row r="306" spans="1:9" x14ac:dyDescent="0.25">
      <c r="A306" s="1" t="s">
        <v>611</v>
      </c>
      <c r="B306" s="1" t="s">
        <v>713</v>
      </c>
      <c r="C306" s="1" t="s">
        <v>612</v>
      </c>
      <c r="D306" s="1" t="s">
        <v>1099</v>
      </c>
      <c r="E306" s="1" t="s">
        <v>856</v>
      </c>
      <c r="F306" s="1" t="s">
        <v>857</v>
      </c>
      <c r="G306" s="1" t="s">
        <v>550</v>
      </c>
      <c r="H306" s="1" t="s">
        <v>551</v>
      </c>
      <c r="I306" s="11">
        <v>0</v>
      </c>
    </row>
    <row r="307" spans="1:9" x14ac:dyDescent="0.25">
      <c r="A307" s="1" t="s">
        <v>611</v>
      </c>
      <c r="B307" s="1" t="s">
        <v>714</v>
      </c>
      <c r="C307" s="1" t="s">
        <v>613</v>
      </c>
      <c r="D307" s="1" t="s">
        <v>74</v>
      </c>
      <c r="E307" s="1" t="s">
        <v>848</v>
      </c>
      <c r="F307" s="1" t="s">
        <v>849</v>
      </c>
      <c r="G307" s="1" t="s">
        <v>551</v>
      </c>
      <c r="H307" s="1" t="s">
        <v>550</v>
      </c>
    </row>
    <row r="308" spans="1:9" x14ac:dyDescent="0.25">
      <c r="A308" s="1" t="s">
        <v>611</v>
      </c>
      <c r="B308" s="1" t="s">
        <v>714</v>
      </c>
      <c r="C308" s="1" t="s">
        <v>613</v>
      </c>
      <c r="D308" s="1" t="s">
        <v>74</v>
      </c>
      <c r="E308" s="1" t="s">
        <v>842</v>
      </c>
      <c r="F308" s="1" t="s">
        <v>843</v>
      </c>
      <c r="G308" s="1" t="s">
        <v>551</v>
      </c>
      <c r="H308" s="1" t="s">
        <v>550</v>
      </c>
    </row>
    <row r="309" spans="1:9" x14ac:dyDescent="0.25">
      <c r="A309" s="1" t="s">
        <v>611</v>
      </c>
      <c r="B309" s="1" t="s">
        <v>714</v>
      </c>
      <c r="C309" s="1" t="s">
        <v>613</v>
      </c>
      <c r="D309" s="1" t="s">
        <v>74</v>
      </c>
      <c r="E309" s="1" t="s">
        <v>836</v>
      </c>
      <c r="F309" s="1" t="s">
        <v>837</v>
      </c>
      <c r="G309" s="1" t="s">
        <v>551</v>
      </c>
      <c r="H309" s="1" t="s">
        <v>550</v>
      </c>
    </row>
    <row r="310" spans="1:9" x14ac:dyDescent="0.25">
      <c r="A310" s="1" t="s">
        <v>611</v>
      </c>
      <c r="B310" s="1" t="s">
        <v>714</v>
      </c>
      <c r="C310" s="1" t="s">
        <v>613</v>
      </c>
      <c r="D310" s="1" t="s">
        <v>74</v>
      </c>
      <c r="E310" s="1" t="s">
        <v>846</v>
      </c>
      <c r="F310" s="1" t="s">
        <v>847</v>
      </c>
      <c r="G310" s="1" t="s">
        <v>551</v>
      </c>
      <c r="H310" s="1" t="s">
        <v>550</v>
      </c>
    </row>
    <row r="311" spans="1:9" x14ac:dyDescent="0.25">
      <c r="A311" s="1" t="s">
        <v>611</v>
      </c>
      <c r="B311" s="1" t="s">
        <v>714</v>
      </c>
      <c r="C311" s="1" t="s">
        <v>613</v>
      </c>
      <c r="D311" s="1" t="s">
        <v>74</v>
      </c>
      <c r="E311" s="1" t="s">
        <v>850</v>
      </c>
      <c r="F311" s="1" t="s">
        <v>851</v>
      </c>
      <c r="G311" s="1" t="s">
        <v>551</v>
      </c>
      <c r="H311" s="1" t="s">
        <v>550</v>
      </c>
    </row>
    <row r="312" spans="1:9" x14ac:dyDescent="0.25">
      <c r="A312" s="1" t="s">
        <v>611</v>
      </c>
      <c r="B312" s="1" t="s">
        <v>714</v>
      </c>
      <c r="C312" s="1" t="s">
        <v>613</v>
      </c>
      <c r="D312" s="1" t="s">
        <v>74</v>
      </c>
      <c r="E312" s="1" t="s">
        <v>844</v>
      </c>
      <c r="F312" s="1" t="s">
        <v>845</v>
      </c>
      <c r="G312" s="1" t="s">
        <v>551</v>
      </c>
      <c r="H312" s="1" t="s">
        <v>550</v>
      </c>
    </row>
    <row r="313" spans="1:9" x14ac:dyDescent="0.25">
      <c r="A313" s="1" t="s">
        <v>611</v>
      </c>
      <c r="B313" s="1" t="s">
        <v>714</v>
      </c>
      <c r="C313" s="1" t="s">
        <v>613</v>
      </c>
      <c r="D313" s="1" t="s">
        <v>1099</v>
      </c>
      <c r="E313" s="1" t="s">
        <v>858</v>
      </c>
      <c r="F313" s="1" t="s">
        <v>612</v>
      </c>
      <c r="G313" s="1" t="s">
        <v>550</v>
      </c>
      <c r="H313" s="1" t="s">
        <v>551</v>
      </c>
      <c r="I313" s="11">
        <v>1</v>
      </c>
    </row>
    <row r="314" spans="1:9" x14ac:dyDescent="0.25">
      <c r="A314" s="1" t="s">
        <v>611</v>
      </c>
      <c r="B314" s="1" t="s">
        <v>715</v>
      </c>
      <c r="C314" s="1" t="s">
        <v>614</v>
      </c>
      <c r="D314" s="1" t="s">
        <v>74</v>
      </c>
      <c r="E314" s="1" t="s">
        <v>392</v>
      </c>
      <c r="F314" s="1" t="s">
        <v>393</v>
      </c>
      <c r="G314" s="1" t="s">
        <v>551</v>
      </c>
      <c r="H314" s="1" t="s">
        <v>550</v>
      </c>
    </row>
    <row r="315" spans="1:9" x14ac:dyDescent="0.25">
      <c r="A315" s="1" t="s">
        <v>611</v>
      </c>
      <c r="B315" s="1" t="s">
        <v>715</v>
      </c>
      <c r="C315" s="1" t="s">
        <v>614</v>
      </c>
      <c r="D315" s="1" t="s">
        <v>74</v>
      </c>
      <c r="E315" s="1" t="s">
        <v>844</v>
      </c>
      <c r="F315" s="1" t="s">
        <v>845</v>
      </c>
      <c r="G315" s="1" t="s">
        <v>551</v>
      </c>
      <c r="H315" s="1" t="s">
        <v>550</v>
      </c>
    </row>
    <row r="316" spans="1:9" x14ac:dyDescent="0.25">
      <c r="A316" s="1" t="s">
        <v>611</v>
      </c>
      <c r="B316" s="1" t="s">
        <v>715</v>
      </c>
      <c r="C316" s="1" t="s">
        <v>614</v>
      </c>
      <c r="D316" s="1" t="s">
        <v>74</v>
      </c>
      <c r="E316" s="1" t="s">
        <v>850</v>
      </c>
      <c r="F316" s="1" t="s">
        <v>851</v>
      </c>
      <c r="G316" s="1" t="s">
        <v>551</v>
      </c>
      <c r="H316" s="1" t="s">
        <v>550</v>
      </c>
    </row>
    <row r="317" spans="1:9" x14ac:dyDescent="0.25">
      <c r="A317" s="1" t="s">
        <v>611</v>
      </c>
      <c r="B317" s="1" t="s">
        <v>715</v>
      </c>
      <c r="C317" s="1" t="s">
        <v>614</v>
      </c>
      <c r="D317" s="1" t="s">
        <v>74</v>
      </c>
      <c r="E317" s="1" t="s">
        <v>842</v>
      </c>
      <c r="F317" s="1" t="s">
        <v>843</v>
      </c>
      <c r="G317" s="1" t="s">
        <v>551</v>
      </c>
      <c r="H317" s="1" t="s">
        <v>550</v>
      </c>
    </row>
    <row r="318" spans="1:9" x14ac:dyDescent="0.25">
      <c r="A318" s="1" t="s">
        <v>611</v>
      </c>
      <c r="B318" s="1" t="s">
        <v>715</v>
      </c>
      <c r="C318" s="1" t="s">
        <v>614</v>
      </c>
      <c r="D318" s="1" t="s">
        <v>74</v>
      </c>
      <c r="E318" s="1" t="s">
        <v>859</v>
      </c>
      <c r="F318" s="1" t="s">
        <v>860</v>
      </c>
      <c r="G318" s="1" t="s">
        <v>551</v>
      </c>
      <c r="H318" s="1" t="s">
        <v>550</v>
      </c>
    </row>
    <row r="319" spans="1:9" x14ac:dyDescent="0.25">
      <c r="A319" s="1" t="s">
        <v>611</v>
      </c>
      <c r="B319" s="1" t="s">
        <v>715</v>
      </c>
      <c r="C319" s="1" t="s">
        <v>614</v>
      </c>
      <c r="D319" s="1" t="s">
        <v>74</v>
      </c>
      <c r="E319" s="1" t="s">
        <v>836</v>
      </c>
      <c r="F319" s="1" t="s">
        <v>837</v>
      </c>
      <c r="G319" s="1" t="s">
        <v>551</v>
      </c>
      <c r="H319" s="1" t="s">
        <v>550</v>
      </c>
    </row>
    <row r="320" spans="1:9" x14ac:dyDescent="0.25">
      <c r="A320" s="1" t="s">
        <v>611</v>
      </c>
      <c r="B320" s="1" t="s">
        <v>715</v>
      </c>
      <c r="C320" s="1" t="s">
        <v>614</v>
      </c>
      <c r="D320" s="1" t="s">
        <v>74</v>
      </c>
      <c r="E320" s="1" t="s">
        <v>846</v>
      </c>
      <c r="F320" s="1" t="s">
        <v>847</v>
      </c>
      <c r="G320" s="1" t="s">
        <v>551</v>
      </c>
      <c r="H320" s="1" t="s">
        <v>550</v>
      </c>
    </row>
    <row r="321" spans="1:9" x14ac:dyDescent="0.25">
      <c r="A321" s="1" t="s">
        <v>611</v>
      </c>
      <c r="B321" s="1" t="s">
        <v>715</v>
      </c>
      <c r="C321" s="1" t="s">
        <v>614</v>
      </c>
      <c r="D321" s="1" t="s">
        <v>74</v>
      </c>
      <c r="E321" s="1" t="s">
        <v>848</v>
      </c>
      <c r="F321" s="1" t="s">
        <v>849</v>
      </c>
      <c r="G321" s="1" t="s">
        <v>551</v>
      </c>
      <c r="H321" s="1" t="s">
        <v>550</v>
      </c>
    </row>
    <row r="322" spans="1:9" x14ac:dyDescent="0.25">
      <c r="A322" s="1" t="s">
        <v>611</v>
      </c>
      <c r="B322" s="1" t="s">
        <v>715</v>
      </c>
      <c r="C322" s="1" t="s">
        <v>614</v>
      </c>
      <c r="D322" s="1" t="s">
        <v>74</v>
      </c>
      <c r="E322" s="1" t="s">
        <v>852</v>
      </c>
      <c r="F322" s="1" t="s">
        <v>853</v>
      </c>
      <c r="G322" s="1" t="s">
        <v>551</v>
      </c>
      <c r="H322" s="1" t="s">
        <v>550</v>
      </c>
    </row>
    <row r="323" spans="1:9" x14ac:dyDescent="0.25">
      <c r="A323" s="1" t="s">
        <v>611</v>
      </c>
      <c r="B323" s="1" t="s">
        <v>715</v>
      </c>
      <c r="C323" s="1" t="s">
        <v>614</v>
      </c>
      <c r="D323" s="1" t="s">
        <v>1099</v>
      </c>
      <c r="E323" s="1" t="s">
        <v>861</v>
      </c>
      <c r="F323" s="1" t="s">
        <v>613</v>
      </c>
      <c r="G323" s="1" t="s">
        <v>550</v>
      </c>
      <c r="H323" s="1" t="s">
        <v>551</v>
      </c>
      <c r="I323" s="11">
        <v>1E-4</v>
      </c>
    </row>
    <row r="324" spans="1:9" x14ac:dyDescent="0.25">
      <c r="A324" s="1" t="s">
        <v>611</v>
      </c>
      <c r="B324" s="1" t="s">
        <v>715</v>
      </c>
      <c r="C324" s="1" t="s">
        <v>614</v>
      </c>
      <c r="D324" s="1" t="s">
        <v>1099</v>
      </c>
      <c r="E324" s="1" t="s">
        <v>858</v>
      </c>
      <c r="F324" s="1" t="s">
        <v>612</v>
      </c>
      <c r="G324" s="1" t="s">
        <v>550</v>
      </c>
      <c r="H324" s="1" t="s">
        <v>551</v>
      </c>
      <c r="I324" s="11">
        <v>0.99990000000000001</v>
      </c>
    </row>
    <row r="325" spans="1:9" x14ac:dyDescent="0.25">
      <c r="A325" s="1" t="s">
        <v>611</v>
      </c>
      <c r="B325" s="1" t="s">
        <v>716</v>
      </c>
      <c r="C325" s="1" t="s">
        <v>615</v>
      </c>
      <c r="D325" s="1" t="s">
        <v>74</v>
      </c>
      <c r="E325" s="1" t="s">
        <v>862</v>
      </c>
      <c r="F325" s="1" t="s">
        <v>863</v>
      </c>
      <c r="G325" s="1" t="s">
        <v>551</v>
      </c>
      <c r="H325" s="1" t="s">
        <v>550</v>
      </c>
    </row>
    <row r="326" spans="1:9" x14ac:dyDescent="0.25">
      <c r="A326" s="1" t="s">
        <v>611</v>
      </c>
      <c r="B326" s="1" t="s">
        <v>716</v>
      </c>
      <c r="C326" s="1" t="s">
        <v>615</v>
      </c>
      <c r="D326" s="1" t="s">
        <v>74</v>
      </c>
      <c r="E326" s="1" t="s">
        <v>836</v>
      </c>
      <c r="F326" s="1" t="s">
        <v>837</v>
      </c>
      <c r="G326" s="1" t="s">
        <v>551</v>
      </c>
      <c r="H326" s="1" t="s">
        <v>550</v>
      </c>
    </row>
    <row r="327" spans="1:9" x14ac:dyDescent="0.25">
      <c r="A327" s="1" t="s">
        <v>611</v>
      </c>
      <c r="B327" s="1" t="s">
        <v>716</v>
      </c>
      <c r="C327" s="1" t="s">
        <v>615</v>
      </c>
      <c r="D327" s="1" t="s">
        <v>74</v>
      </c>
      <c r="E327" s="1" t="s">
        <v>848</v>
      </c>
      <c r="F327" s="1" t="s">
        <v>849</v>
      </c>
      <c r="G327" s="1" t="s">
        <v>551</v>
      </c>
      <c r="H327" s="1" t="s">
        <v>550</v>
      </c>
    </row>
    <row r="328" spans="1:9" x14ac:dyDescent="0.25">
      <c r="A328" s="1" t="s">
        <v>611</v>
      </c>
      <c r="B328" s="1" t="s">
        <v>716</v>
      </c>
      <c r="C328" s="1" t="s">
        <v>615</v>
      </c>
      <c r="D328" s="1" t="s">
        <v>74</v>
      </c>
      <c r="E328" s="1" t="s">
        <v>850</v>
      </c>
      <c r="F328" s="1" t="s">
        <v>851</v>
      </c>
      <c r="G328" s="1" t="s">
        <v>551</v>
      </c>
      <c r="H328" s="1" t="s">
        <v>550</v>
      </c>
    </row>
    <row r="329" spans="1:9" x14ac:dyDescent="0.25">
      <c r="A329" s="1" t="s">
        <v>611</v>
      </c>
      <c r="B329" s="1" t="s">
        <v>716</v>
      </c>
      <c r="C329" s="1" t="s">
        <v>615</v>
      </c>
      <c r="D329" s="1" t="s">
        <v>74</v>
      </c>
      <c r="E329" s="1" t="s">
        <v>842</v>
      </c>
      <c r="F329" s="1" t="s">
        <v>843</v>
      </c>
      <c r="G329" s="1" t="s">
        <v>551</v>
      </c>
      <c r="H329" s="1" t="s">
        <v>550</v>
      </c>
    </row>
    <row r="330" spans="1:9" x14ac:dyDescent="0.25">
      <c r="A330" s="1" t="s">
        <v>611</v>
      </c>
      <c r="B330" s="1" t="s">
        <v>716</v>
      </c>
      <c r="C330" s="1" t="s">
        <v>615</v>
      </c>
      <c r="D330" s="1" t="s">
        <v>1099</v>
      </c>
      <c r="E330" s="1" t="s">
        <v>861</v>
      </c>
      <c r="F330" s="1" t="s">
        <v>613</v>
      </c>
      <c r="G330" s="1" t="s">
        <v>550</v>
      </c>
      <c r="H330" s="1" t="s">
        <v>551</v>
      </c>
      <c r="I330" s="11">
        <v>0</v>
      </c>
    </row>
    <row r="331" spans="1:9" x14ac:dyDescent="0.25">
      <c r="A331" s="1" t="s">
        <v>611</v>
      </c>
      <c r="B331" s="1" t="s">
        <v>716</v>
      </c>
      <c r="C331" s="1" t="s">
        <v>615</v>
      </c>
      <c r="D331" s="1" t="s">
        <v>1099</v>
      </c>
      <c r="E331" s="1" t="s">
        <v>858</v>
      </c>
      <c r="F331" s="1" t="s">
        <v>612</v>
      </c>
      <c r="G331" s="1" t="s">
        <v>550</v>
      </c>
      <c r="H331" s="1" t="s">
        <v>551</v>
      </c>
      <c r="I331" s="11">
        <v>4.4999999999999997E-3</v>
      </c>
    </row>
    <row r="332" spans="1:9" x14ac:dyDescent="0.25">
      <c r="A332" s="1" t="s">
        <v>611</v>
      </c>
      <c r="B332" s="1" t="s">
        <v>716</v>
      </c>
      <c r="C332" s="1" t="s">
        <v>615</v>
      </c>
      <c r="D332" s="1" t="s">
        <v>1099</v>
      </c>
      <c r="E332" s="1" t="s">
        <v>864</v>
      </c>
      <c r="F332" s="1" t="s">
        <v>865</v>
      </c>
      <c r="G332" s="1" t="s">
        <v>550</v>
      </c>
      <c r="H332" s="1" t="s">
        <v>551</v>
      </c>
      <c r="I332" s="11">
        <v>0.99539999999999995</v>
      </c>
    </row>
    <row r="333" spans="1:9" x14ac:dyDescent="0.25">
      <c r="A333" s="1" t="s">
        <v>611</v>
      </c>
      <c r="B333" s="1" t="s">
        <v>717</v>
      </c>
      <c r="C333" s="1" t="s">
        <v>616</v>
      </c>
      <c r="D333" s="1" t="s">
        <v>74</v>
      </c>
      <c r="E333" s="1" t="s">
        <v>392</v>
      </c>
      <c r="F333" s="1" t="s">
        <v>393</v>
      </c>
      <c r="G333" s="1" t="s">
        <v>551</v>
      </c>
      <c r="H333" s="1" t="s">
        <v>550</v>
      </c>
    </row>
    <row r="334" spans="1:9" x14ac:dyDescent="0.25">
      <c r="A334" s="1" t="s">
        <v>611</v>
      </c>
      <c r="B334" s="1" t="s">
        <v>717</v>
      </c>
      <c r="C334" s="1" t="s">
        <v>616</v>
      </c>
      <c r="D334" s="1" t="s">
        <v>74</v>
      </c>
      <c r="E334" s="1" t="s">
        <v>859</v>
      </c>
      <c r="F334" s="1" t="s">
        <v>860</v>
      </c>
      <c r="G334" s="1" t="s">
        <v>551</v>
      </c>
      <c r="H334" s="1" t="s">
        <v>550</v>
      </c>
    </row>
    <row r="335" spans="1:9" x14ac:dyDescent="0.25">
      <c r="A335" s="1" t="s">
        <v>611</v>
      </c>
      <c r="B335" s="1" t="s">
        <v>717</v>
      </c>
      <c r="C335" s="1" t="s">
        <v>616</v>
      </c>
      <c r="D335" s="1" t="s">
        <v>74</v>
      </c>
      <c r="E335" s="1" t="s">
        <v>844</v>
      </c>
      <c r="F335" s="1" t="s">
        <v>845</v>
      </c>
      <c r="G335" s="1" t="s">
        <v>551</v>
      </c>
      <c r="H335" s="1" t="s">
        <v>550</v>
      </c>
    </row>
    <row r="336" spans="1:9" x14ac:dyDescent="0.25">
      <c r="A336" s="1" t="s">
        <v>611</v>
      </c>
      <c r="B336" s="1" t="s">
        <v>717</v>
      </c>
      <c r="C336" s="1" t="s">
        <v>616</v>
      </c>
      <c r="D336" s="1" t="s">
        <v>74</v>
      </c>
      <c r="E336" s="1" t="s">
        <v>836</v>
      </c>
      <c r="F336" s="1" t="s">
        <v>837</v>
      </c>
      <c r="G336" s="1" t="s">
        <v>551</v>
      </c>
      <c r="H336" s="1" t="s">
        <v>550</v>
      </c>
    </row>
    <row r="337" spans="1:9" x14ac:dyDescent="0.25">
      <c r="A337" s="1" t="s">
        <v>611</v>
      </c>
      <c r="B337" s="1" t="s">
        <v>717</v>
      </c>
      <c r="C337" s="1" t="s">
        <v>616</v>
      </c>
      <c r="D337" s="1" t="s">
        <v>74</v>
      </c>
      <c r="E337" s="1" t="s">
        <v>846</v>
      </c>
      <c r="F337" s="1" t="s">
        <v>847</v>
      </c>
      <c r="G337" s="1" t="s">
        <v>551</v>
      </c>
      <c r="H337" s="1" t="s">
        <v>550</v>
      </c>
    </row>
    <row r="338" spans="1:9" x14ac:dyDescent="0.25">
      <c r="A338" s="1" t="s">
        <v>611</v>
      </c>
      <c r="B338" s="1" t="s">
        <v>717</v>
      </c>
      <c r="C338" s="1" t="s">
        <v>616</v>
      </c>
      <c r="D338" s="1" t="s">
        <v>74</v>
      </c>
      <c r="E338" s="1" t="s">
        <v>848</v>
      </c>
      <c r="F338" s="1" t="s">
        <v>849</v>
      </c>
      <c r="G338" s="1" t="s">
        <v>551</v>
      </c>
      <c r="H338" s="1" t="s">
        <v>550</v>
      </c>
    </row>
    <row r="339" spans="1:9" x14ac:dyDescent="0.25">
      <c r="A339" s="1" t="s">
        <v>611</v>
      </c>
      <c r="B339" s="1" t="s">
        <v>717</v>
      </c>
      <c r="C339" s="1" t="s">
        <v>616</v>
      </c>
      <c r="D339" s="1" t="s">
        <v>74</v>
      </c>
      <c r="E339" s="1" t="s">
        <v>850</v>
      </c>
      <c r="F339" s="1" t="s">
        <v>851</v>
      </c>
      <c r="G339" s="1" t="s">
        <v>551</v>
      </c>
      <c r="H339" s="1" t="s">
        <v>550</v>
      </c>
    </row>
    <row r="340" spans="1:9" x14ac:dyDescent="0.25">
      <c r="A340" s="1" t="s">
        <v>611</v>
      </c>
      <c r="B340" s="1" t="s">
        <v>717</v>
      </c>
      <c r="C340" s="1" t="s">
        <v>616</v>
      </c>
      <c r="D340" s="1" t="s">
        <v>74</v>
      </c>
      <c r="E340" s="1" t="s">
        <v>842</v>
      </c>
      <c r="F340" s="1" t="s">
        <v>843</v>
      </c>
      <c r="G340" s="1" t="s">
        <v>551</v>
      </c>
      <c r="H340" s="1" t="s">
        <v>550</v>
      </c>
    </row>
    <row r="341" spans="1:9" x14ac:dyDescent="0.25">
      <c r="A341" s="1" t="s">
        <v>611</v>
      </c>
      <c r="B341" s="1" t="s">
        <v>717</v>
      </c>
      <c r="C341" s="1" t="s">
        <v>616</v>
      </c>
      <c r="D341" s="1" t="s">
        <v>74</v>
      </c>
      <c r="E341" s="1" t="s">
        <v>852</v>
      </c>
      <c r="F341" s="1" t="s">
        <v>853</v>
      </c>
      <c r="G341" s="1" t="s">
        <v>551</v>
      </c>
      <c r="H341" s="1" t="s">
        <v>550</v>
      </c>
    </row>
    <row r="342" spans="1:9" x14ac:dyDescent="0.25">
      <c r="A342" s="1" t="s">
        <v>611</v>
      </c>
      <c r="B342" s="1" t="s">
        <v>717</v>
      </c>
      <c r="C342" s="1" t="s">
        <v>616</v>
      </c>
      <c r="D342" s="1" t="s">
        <v>1099</v>
      </c>
      <c r="E342" s="1" t="s">
        <v>861</v>
      </c>
      <c r="F342" s="1" t="s">
        <v>613</v>
      </c>
      <c r="G342" s="1" t="s">
        <v>550</v>
      </c>
      <c r="H342" s="1" t="s">
        <v>551</v>
      </c>
      <c r="I342" s="11">
        <v>0.01</v>
      </c>
    </row>
    <row r="343" spans="1:9" x14ac:dyDescent="0.25">
      <c r="A343" s="1" t="s">
        <v>611</v>
      </c>
      <c r="B343" s="1" t="s">
        <v>717</v>
      </c>
      <c r="C343" s="1" t="s">
        <v>616</v>
      </c>
      <c r="D343" s="1" t="s">
        <v>1099</v>
      </c>
      <c r="E343" s="1" t="s">
        <v>858</v>
      </c>
      <c r="F343" s="1" t="s">
        <v>612</v>
      </c>
      <c r="G343" s="1" t="s">
        <v>550</v>
      </c>
      <c r="H343" s="1" t="s">
        <v>551</v>
      </c>
      <c r="I343" s="11">
        <v>0.99</v>
      </c>
    </row>
    <row r="344" spans="1:9" x14ac:dyDescent="0.25">
      <c r="A344" s="1" t="s">
        <v>611</v>
      </c>
      <c r="B344" s="1" t="s">
        <v>718</v>
      </c>
      <c r="C344" s="1" t="s">
        <v>617</v>
      </c>
      <c r="D344" s="1" t="s">
        <v>74</v>
      </c>
      <c r="E344" s="1" t="s">
        <v>862</v>
      </c>
      <c r="F344" s="1" t="s">
        <v>863</v>
      </c>
      <c r="G344" s="1" t="s">
        <v>551</v>
      </c>
      <c r="H344" s="1" t="s">
        <v>550</v>
      </c>
    </row>
    <row r="345" spans="1:9" x14ac:dyDescent="0.25">
      <c r="A345" s="1" t="s">
        <v>611</v>
      </c>
      <c r="B345" s="1" t="s">
        <v>718</v>
      </c>
      <c r="C345" s="1" t="s">
        <v>617</v>
      </c>
      <c r="D345" s="1" t="s">
        <v>74</v>
      </c>
      <c r="E345" s="1" t="s">
        <v>836</v>
      </c>
      <c r="F345" s="1" t="s">
        <v>837</v>
      </c>
      <c r="G345" s="1" t="s">
        <v>551</v>
      </c>
      <c r="H345" s="1" t="s">
        <v>550</v>
      </c>
    </row>
    <row r="346" spans="1:9" x14ac:dyDescent="0.25">
      <c r="A346" s="1" t="s">
        <v>611</v>
      </c>
      <c r="B346" s="1" t="s">
        <v>718</v>
      </c>
      <c r="C346" s="1" t="s">
        <v>617</v>
      </c>
      <c r="D346" s="1" t="s">
        <v>74</v>
      </c>
      <c r="E346" s="1" t="s">
        <v>850</v>
      </c>
      <c r="F346" s="1" t="s">
        <v>851</v>
      </c>
      <c r="G346" s="1" t="s">
        <v>551</v>
      </c>
      <c r="H346" s="1" t="s">
        <v>550</v>
      </c>
    </row>
    <row r="347" spans="1:9" x14ac:dyDescent="0.25">
      <c r="A347" s="1" t="s">
        <v>611</v>
      </c>
      <c r="B347" s="1" t="s">
        <v>718</v>
      </c>
      <c r="C347" s="1" t="s">
        <v>617</v>
      </c>
      <c r="D347" s="1" t="s">
        <v>74</v>
      </c>
      <c r="E347" s="1" t="s">
        <v>842</v>
      </c>
      <c r="F347" s="1" t="s">
        <v>843</v>
      </c>
      <c r="G347" s="1" t="s">
        <v>551</v>
      </c>
      <c r="H347" s="1" t="s">
        <v>550</v>
      </c>
    </row>
    <row r="348" spans="1:9" x14ac:dyDescent="0.25">
      <c r="A348" s="1" t="s">
        <v>611</v>
      </c>
      <c r="B348" s="1" t="s">
        <v>718</v>
      </c>
      <c r="C348" s="1" t="s">
        <v>617</v>
      </c>
      <c r="D348" s="1" t="s">
        <v>74</v>
      </c>
      <c r="E348" s="1" t="s">
        <v>848</v>
      </c>
      <c r="F348" s="1" t="s">
        <v>849</v>
      </c>
      <c r="G348" s="1" t="s">
        <v>551</v>
      </c>
      <c r="H348" s="1" t="s">
        <v>550</v>
      </c>
    </row>
    <row r="349" spans="1:9" x14ac:dyDescent="0.25">
      <c r="A349" s="1" t="s">
        <v>611</v>
      </c>
      <c r="B349" s="1" t="s">
        <v>718</v>
      </c>
      <c r="C349" s="1" t="s">
        <v>617</v>
      </c>
      <c r="D349" s="1" t="s">
        <v>1099</v>
      </c>
      <c r="E349" s="1" t="s">
        <v>861</v>
      </c>
      <c r="F349" s="1" t="s">
        <v>613</v>
      </c>
      <c r="G349" s="1" t="s">
        <v>550</v>
      </c>
      <c r="H349" s="1" t="s">
        <v>551</v>
      </c>
      <c r="I349" s="11">
        <v>1E-4</v>
      </c>
    </row>
    <row r="350" spans="1:9" x14ac:dyDescent="0.25">
      <c r="A350" s="1" t="s">
        <v>611</v>
      </c>
      <c r="B350" s="1" t="s">
        <v>718</v>
      </c>
      <c r="C350" s="1" t="s">
        <v>617</v>
      </c>
      <c r="D350" s="1" t="s">
        <v>1099</v>
      </c>
      <c r="E350" s="1" t="s">
        <v>858</v>
      </c>
      <c r="F350" s="1" t="s">
        <v>612</v>
      </c>
      <c r="G350" s="1" t="s">
        <v>550</v>
      </c>
      <c r="H350" s="1" t="s">
        <v>551</v>
      </c>
      <c r="I350" s="11">
        <v>8.9999999999999998E-4</v>
      </c>
    </row>
    <row r="351" spans="1:9" x14ac:dyDescent="0.25">
      <c r="A351" s="1" t="s">
        <v>611</v>
      </c>
      <c r="B351" s="1" t="s">
        <v>718</v>
      </c>
      <c r="C351" s="1" t="s">
        <v>617</v>
      </c>
      <c r="D351" s="1" t="s">
        <v>1099</v>
      </c>
      <c r="E351" s="1" t="s">
        <v>864</v>
      </c>
      <c r="F351" s="1" t="s">
        <v>865</v>
      </c>
      <c r="G351" s="1" t="s">
        <v>550</v>
      </c>
      <c r="H351" s="1" t="s">
        <v>551</v>
      </c>
      <c r="I351" s="11">
        <v>0.999</v>
      </c>
    </row>
    <row r="352" spans="1:9" x14ac:dyDescent="0.25">
      <c r="A352" s="1" t="s">
        <v>611</v>
      </c>
      <c r="B352" s="1" t="s">
        <v>719</v>
      </c>
      <c r="C352" s="1" t="s">
        <v>618</v>
      </c>
      <c r="D352" s="1" t="s">
        <v>74</v>
      </c>
      <c r="E352" s="1" t="s">
        <v>866</v>
      </c>
      <c r="F352" s="1" t="s">
        <v>867</v>
      </c>
      <c r="G352" s="1" t="s">
        <v>551</v>
      </c>
      <c r="H352" s="1" t="s">
        <v>550</v>
      </c>
    </row>
    <row r="353" spans="1:9" x14ac:dyDescent="0.25">
      <c r="A353" s="1" t="s">
        <v>611</v>
      </c>
      <c r="B353" s="1" t="s">
        <v>719</v>
      </c>
      <c r="C353" s="1" t="s">
        <v>618</v>
      </c>
      <c r="D353" s="1" t="s">
        <v>74</v>
      </c>
      <c r="E353" s="1" t="s">
        <v>836</v>
      </c>
      <c r="F353" s="1" t="s">
        <v>837</v>
      </c>
      <c r="G353" s="1" t="s">
        <v>551</v>
      </c>
      <c r="H353" s="1" t="s">
        <v>550</v>
      </c>
    </row>
    <row r="354" spans="1:9" x14ac:dyDescent="0.25">
      <c r="A354" s="1" t="s">
        <v>611</v>
      </c>
      <c r="B354" s="1" t="s">
        <v>719</v>
      </c>
      <c r="C354" s="1" t="s">
        <v>618</v>
      </c>
      <c r="D354" s="1" t="s">
        <v>74</v>
      </c>
      <c r="E354" s="1" t="s">
        <v>846</v>
      </c>
      <c r="F354" s="1" t="s">
        <v>847</v>
      </c>
      <c r="G354" s="1" t="s">
        <v>551</v>
      </c>
      <c r="H354" s="1" t="s">
        <v>550</v>
      </c>
    </row>
    <row r="355" spans="1:9" x14ac:dyDescent="0.25">
      <c r="A355" s="1" t="s">
        <v>611</v>
      </c>
      <c r="B355" s="1" t="s">
        <v>719</v>
      </c>
      <c r="C355" s="1" t="s">
        <v>618</v>
      </c>
      <c r="D355" s="1" t="s">
        <v>74</v>
      </c>
      <c r="E355" s="1" t="s">
        <v>848</v>
      </c>
      <c r="F355" s="1" t="s">
        <v>849</v>
      </c>
      <c r="G355" s="1" t="s">
        <v>551</v>
      </c>
      <c r="H355" s="1" t="s">
        <v>550</v>
      </c>
    </row>
    <row r="356" spans="1:9" x14ac:dyDescent="0.25">
      <c r="A356" s="1" t="s">
        <v>611</v>
      </c>
      <c r="B356" s="1" t="s">
        <v>719</v>
      </c>
      <c r="C356" s="1" t="s">
        <v>618</v>
      </c>
      <c r="D356" s="1" t="s">
        <v>74</v>
      </c>
      <c r="E356" s="1" t="s">
        <v>850</v>
      </c>
      <c r="F356" s="1" t="s">
        <v>851</v>
      </c>
      <c r="G356" s="1" t="s">
        <v>551</v>
      </c>
      <c r="H356" s="1" t="s">
        <v>550</v>
      </c>
    </row>
    <row r="357" spans="1:9" x14ac:dyDescent="0.25">
      <c r="A357" s="1" t="s">
        <v>611</v>
      </c>
      <c r="B357" s="1" t="s">
        <v>719</v>
      </c>
      <c r="C357" s="1" t="s">
        <v>618</v>
      </c>
      <c r="D357" s="1" t="s">
        <v>74</v>
      </c>
      <c r="E357" s="1" t="s">
        <v>842</v>
      </c>
      <c r="F357" s="1" t="s">
        <v>843</v>
      </c>
      <c r="G357" s="1" t="s">
        <v>551</v>
      </c>
      <c r="H357" s="1" t="s">
        <v>550</v>
      </c>
    </row>
    <row r="358" spans="1:9" x14ac:dyDescent="0.25">
      <c r="A358" s="1" t="s">
        <v>611</v>
      </c>
      <c r="B358" s="1" t="s">
        <v>719</v>
      </c>
      <c r="C358" s="1" t="s">
        <v>618</v>
      </c>
      <c r="D358" s="1" t="s">
        <v>1099</v>
      </c>
      <c r="E358" s="1" t="s">
        <v>868</v>
      </c>
      <c r="F358" s="1" t="s">
        <v>869</v>
      </c>
      <c r="G358" s="1" t="s">
        <v>550</v>
      </c>
      <c r="H358" s="1" t="s">
        <v>551</v>
      </c>
      <c r="I358" s="11">
        <v>0.3</v>
      </c>
    </row>
    <row r="359" spans="1:9" x14ac:dyDescent="0.25">
      <c r="A359" s="1" t="s">
        <v>611</v>
      </c>
      <c r="B359" s="1" t="s">
        <v>719</v>
      </c>
      <c r="C359" s="1" t="s">
        <v>618</v>
      </c>
      <c r="D359" s="1" t="s">
        <v>1099</v>
      </c>
      <c r="E359" s="1" t="s">
        <v>858</v>
      </c>
      <c r="F359" s="1" t="s">
        <v>612</v>
      </c>
      <c r="G359" s="1" t="s">
        <v>550</v>
      </c>
      <c r="H359" s="1" t="s">
        <v>551</v>
      </c>
      <c r="I359" s="11">
        <v>0.7</v>
      </c>
    </row>
    <row r="360" spans="1:9" x14ac:dyDescent="0.25">
      <c r="A360" s="1" t="s">
        <v>611</v>
      </c>
      <c r="B360" s="1" t="s">
        <v>720</v>
      </c>
      <c r="C360" s="1" t="s">
        <v>619</v>
      </c>
      <c r="D360" s="1" t="s">
        <v>74</v>
      </c>
      <c r="E360" s="1" t="s">
        <v>844</v>
      </c>
      <c r="F360" s="1" t="s">
        <v>845</v>
      </c>
      <c r="G360" s="1" t="s">
        <v>551</v>
      </c>
      <c r="H360" s="1" t="s">
        <v>550</v>
      </c>
    </row>
    <row r="361" spans="1:9" x14ac:dyDescent="0.25">
      <c r="A361" s="1" t="s">
        <v>611</v>
      </c>
      <c r="B361" s="1" t="s">
        <v>720</v>
      </c>
      <c r="C361" s="1" t="s">
        <v>619</v>
      </c>
      <c r="D361" s="1" t="s">
        <v>74</v>
      </c>
      <c r="E361" s="1" t="s">
        <v>836</v>
      </c>
      <c r="F361" s="1" t="s">
        <v>837</v>
      </c>
      <c r="G361" s="1" t="s">
        <v>551</v>
      </c>
      <c r="H361" s="1" t="s">
        <v>550</v>
      </c>
    </row>
    <row r="362" spans="1:9" x14ac:dyDescent="0.25">
      <c r="A362" s="1" t="s">
        <v>611</v>
      </c>
      <c r="B362" s="1" t="s">
        <v>720</v>
      </c>
      <c r="C362" s="1" t="s">
        <v>619</v>
      </c>
      <c r="D362" s="1" t="s">
        <v>74</v>
      </c>
      <c r="E362" s="1" t="s">
        <v>846</v>
      </c>
      <c r="F362" s="1" t="s">
        <v>847</v>
      </c>
      <c r="G362" s="1" t="s">
        <v>551</v>
      </c>
      <c r="H362" s="1" t="s">
        <v>550</v>
      </c>
    </row>
    <row r="363" spans="1:9" x14ac:dyDescent="0.25">
      <c r="A363" s="1" t="s">
        <v>611</v>
      </c>
      <c r="B363" s="1" t="s">
        <v>720</v>
      </c>
      <c r="C363" s="1" t="s">
        <v>619</v>
      </c>
      <c r="D363" s="1" t="s">
        <v>74</v>
      </c>
      <c r="E363" s="1" t="s">
        <v>848</v>
      </c>
      <c r="F363" s="1" t="s">
        <v>849</v>
      </c>
      <c r="G363" s="1" t="s">
        <v>551</v>
      </c>
      <c r="H363" s="1" t="s">
        <v>550</v>
      </c>
    </row>
    <row r="364" spans="1:9" x14ac:dyDescent="0.25">
      <c r="A364" s="1" t="s">
        <v>611</v>
      </c>
      <c r="B364" s="1" t="s">
        <v>720</v>
      </c>
      <c r="C364" s="1" t="s">
        <v>619</v>
      </c>
      <c r="D364" s="1" t="s">
        <v>74</v>
      </c>
      <c r="E364" s="1" t="s">
        <v>850</v>
      </c>
      <c r="F364" s="1" t="s">
        <v>851</v>
      </c>
      <c r="G364" s="1" t="s">
        <v>551</v>
      </c>
      <c r="H364" s="1" t="s">
        <v>550</v>
      </c>
    </row>
    <row r="365" spans="1:9" x14ac:dyDescent="0.25">
      <c r="A365" s="1" t="s">
        <v>611</v>
      </c>
      <c r="B365" s="1" t="s">
        <v>720</v>
      </c>
      <c r="C365" s="1" t="s">
        <v>619</v>
      </c>
      <c r="D365" s="1" t="s">
        <v>74</v>
      </c>
      <c r="E365" s="1" t="s">
        <v>842</v>
      </c>
      <c r="F365" s="1" t="s">
        <v>843</v>
      </c>
      <c r="G365" s="1" t="s">
        <v>551</v>
      </c>
      <c r="H365" s="1" t="s">
        <v>550</v>
      </c>
    </row>
    <row r="366" spans="1:9" x14ac:dyDescent="0.25">
      <c r="A366" s="1" t="s">
        <v>611</v>
      </c>
      <c r="B366" s="1" t="s">
        <v>720</v>
      </c>
      <c r="C366" s="1" t="s">
        <v>619</v>
      </c>
      <c r="D366" s="1" t="s">
        <v>1099</v>
      </c>
      <c r="E366" s="1" t="s">
        <v>715</v>
      </c>
      <c r="F366" s="1" t="s">
        <v>614</v>
      </c>
      <c r="G366" s="1" t="s">
        <v>550</v>
      </c>
      <c r="H366" s="1" t="s">
        <v>551</v>
      </c>
      <c r="I366" s="11">
        <v>0.05</v>
      </c>
    </row>
    <row r="367" spans="1:9" x14ac:dyDescent="0.25">
      <c r="A367" s="1" t="s">
        <v>611</v>
      </c>
      <c r="B367" s="1" t="s">
        <v>720</v>
      </c>
      <c r="C367" s="1" t="s">
        <v>619</v>
      </c>
      <c r="D367" s="1" t="s">
        <v>1099</v>
      </c>
      <c r="E367" s="1" t="s">
        <v>858</v>
      </c>
      <c r="F367" s="1" t="s">
        <v>612</v>
      </c>
      <c r="G367" s="1" t="s">
        <v>550</v>
      </c>
      <c r="H367" s="1" t="s">
        <v>551</v>
      </c>
      <c r="I367" s="11">
        <v>0.95</v>
      </c>
    </row>
    <row r="368" spans="1:9" x14ac:dyDescent="0.25">
      <c r="A368" s="1" t="s">
        <v>611</v>
      </c>
      <c r="B368" s="1" t="s">
        <v>721</v>
      </c>
      <c r="C368" s="1" t="s">
        <v>620</v>
      </c>
      <c r="D368" s="1" t="s">
        <v>74</v>
      </c>
      <c r="E368" s="1" t="s">
        <v>844</v>
      </c>
      <c r="F368" s="1" t="s">
        <v>845</v>
      </c>
      <c r="G368" s="1" t="s">
        <v>551</v>
      </c>
      <c r="H368" s="1" t="s">
        <v>550</v>
      </c>
    </row>
    <row r="369" spans="1:9" x14ac:dyDescent="0.25">
      <c r="A369" s="1" t="s">
        <v>611</v>
      </c>
      <c r="B369" s="1" t="s">
        <v>721</v>
      </c>
      <c r="C369" s="1" t="s">
        <v>620</v>
      </c>
      <c r="D369" s="1" t="s">
        <v>74</v>
      </c>
      <c r="E369" s="1" t="s">
        <v>846</v>
      </c>
      <c r="F369" s="1" t="s">
        <v>847</v>
      </c>
      <c r="G369" s="1" t="s">
        <v>551</v>
      </c>
      <c r="H369" s="1" t="s">
        <v>550</v>
      </c>
    </row>
    <row r="370" spans="1:9" x14ac:dyDescent="0.25">
      <c r="A370" s="1" t="s">
        <v>611</v>
      </c>
      <c r="B370" s="1" t="s">
        <v>721</v>
      </c>
      <c r="C370" s="1" t="s">
        <v>620</v>
      </c>
      <c r="D370" s="1" t="s">
        <v>74</v>
      </c>
      <c r="E370" s="1" t="s">
        <v>848</v>
      </c>
      <c r="F370" s="1" t="s">
        <v>849</v>
      </c>
      <c r="G370" s="1" t="s">
        <v>551</v>
      </c>
      <c r="H370" s="1" t="s">
        <v>550</v>
      </c>
    </row>
    <row r="371" spans="1:9" x14ac:dyDescent="0.25">
      <c r="A371" s="1" t="s">
        <v>611</v>
      </c>
      <c r="B371" s="1" t="s">
        <v>721</v>
      </c>
      <c r="C371" s="1" t="s">
        <v>620</v>
      </c>
      <c r="D371" s="1" t="s">
        <v>74</v>
      </c>
      <c r="E371" s="1" t="s">
        <v>850</v>
      </c>
      <c r="F371" s="1" t="s">
        <v>851</v>
      </c>
      <c r="G371" s="1" t="s">
        <v>551</v>
      </c>
      <c r="H371" s="1" t="s">
        <v>550</v>
      </c>
    </row>
    <row r="372" spans="1:9" x14ac:dyDescent="0.25">
      <c r="A372" s="1" t="s">
        <v>611</v>
      </c>
      <c r="B372" s="1" t="s">
        <v>721</v>
      </c>
      <c r="C372" s="1" t="s">
        <v>620</v>
      </c>
      <c r="D372" s="1" t="s">
        <v>74</v>
      </c>
      <c r="E372" s="1" t="s">
        <v>842</v>
      </c>
      <c r="F372" s="1" t="s">
        <v>843</v>
      </c>
      <c r="G372" s="1" t="s">
        <v>551</v>
      </c>
      <c r="H372" s="1" t="s">
        <v>550</v>
      </c>
    </row>
    <row r="373" spans="1:9" x14ac:dyDescent="0.25">
      <c r="A373" s="1" t="s">
        <v>611</v>
      </c>
      <c r="B373" s="1" t="s">
        <v>721</v>
      </c>
      <c r="C373" s="1" t="s">
        <v>620</v>
      </c>
      <c r="D373" s="1" t="s">
        <v>74</v>
      </c>
      <c r="E373" s="1" t="s">
        <v>836</v>
      </c>
      <c r="F373" s="1" t="s">
        <v>837</v>
      </c>
      <c r="G373" s="1" t="s">
        <v>551</v>
      </c>
      <c r="H373" s="1" t="s">
        <v>550</v>
      </c>
    </row>
    <row r="374" spans="1:9" x14ac:dyDescent="0.25">
      <c r="A374" s="1" t="s">
        <v>611</v>
      </c>
      <c r="B374" s="1" t="s">
        <v>721</v>
      </c>
      <c r="C374" s="1" t="s">
        <v>620</v>
      </c>
      <c r="D374" s="1" t="s">
        <v>1099</v>
      </c>
      <c r="E374" s="1" t="s">
        <v>716</v>
      </c>
      <c r="F374" s="1" t="s">
        <v>615</v>
      </c>
      <c r="G374" s="1" t="s">
        <v>550</v>
      </c>
      <c r="H374" s="1" t="s">
        <v>551</v>
      </c>
      <c r="I374" s="11">
        <v>0.1</v>
      </c>
    </row>
    <row r="375" spans="1:9" x14ac:dyDescent="0.25">
      <c r="A375" s="1" t="s">
        <v>611</v>
      </c>
      <c r="B375" s="1" t="s">
        <v>721</v>
      </c>
      <c r="C375" s="1" t="s">
        <v>620</v>
      </c>
      <c r="D375" s="1" t="s">
        <v>1099</v>
      </c>
      <c r="E375" s="1" t="s">
        <v>858</v>
      </c>
      <c r="F375" s="1" t="s">
        <v>612</v>
      </c>
      <c r="G375" s="1" t="s">
        <v>550</v>
      </c>
      <c r="H375" s="1" t="s">
        <v>551</v>
      </c>
      <c r="I375" s="11">
        <v>0.9</v>
      </c>
    </row>
    <row r="376" spans="1:9" x14ac:dyDescent="0.25">
      <c r="A376" s="1" t="s">
        <v>611</v>
      </c>
      <c r="B376" s="1" t="s">
        <v>722</v>
      </c>
      <c r="C376" s="1" t="s">
        <v>621</v>
      </c>
      <c r="D376" s="1" t="s">
        <v>74</v>
      </c>
      <c r="E376" s="1" t="s">
        <v>848</v>
      </c>
      <c r="F376" s="1" t="s">
        <v>849</v>
      </c>
      <c r="G376" s="1" t="s">
        <v>551</v>
      </c>
      <c r="H376" s="1" t="s">
        <v>550</v>
      </c>
    </row>
    <row r="377" spans="1:9" x14ac:dyDescent="0.25">
      <c r="A377" s="1" t="s">
        <v>611</v>
      </c>
      <c r="B377" s="1" t="s">
        <v>722</v>
      </c>
      <c r="C377" s="1" t="s">
        <v>621</v>
      </c>
      <c r="D377" s="1" t="s">
        <v>74</v>
      </c>
      <c r="E377" s="1" t="s">
        <v>850</v>
      </c>
      <c r="F377" s="1" t="s">
        <v>851</v>
      </c>
      <c r="G377" s="1" t="s">
        <v>551</v>
      </c>
      <c r="H377" s="1" t="s">
        <v>550</v>
      </c>
    </row>
    <row r="378" spans="1:9" x14ac:dyDescent="0.25">
      <c r="A378" s="1" t="s">
        <v>611</v>
      </c>
      <c r="B378" s="1" t="s">
        <v>722</v>
      </c>
      <c r="C378" s="1" t="s">
        <v>621</v>
      </c>
      <c r="D378" s="1" t="s">
        <v>74</v>
      </c>
      <c r="E378" s="1" t="s">
        <v>842</v>
      </c>
      <c r="F378" s="1" t="s">
        <v>843</v>
      </c>
      <c r="G378" s="1" t="s">
        <v>551</v>
      </c>
      <c r="H378" s="1" t="s">
        <v>550</v>
      </c>
    </row>
    <row r="379" spans="1:9" x14ac:dyDescent="0.25">
      <c r="A379" s="1" t="s">
        <v>611</v>
      </c>
      <c r="B379" s="1" t="s">
        <v>722</v>
      </c>
      <c r="C379" s="1" t="s">
        <v>621</v>
      </c>
      <c r="D379" s="1" t="s">
        <v>74</v>
      </c>
      <c r="E379" s="1" t="s">
        <v>846</v>
      </c>
      <c r="F379" s="1" t="s">
        <v>847</v>
      </c>
      <c r="G379" s="1" t="s">
        <v>551</v>
      </c>
      <c r="H379" s="1" t="s">
        <v>550</v>
      </c>
    </row>
    <row r="380" spans="1:9" x14ac:dyDescent="0.25">
      <c r="A380" s="1" t="s">
        <v>611</v>
      </c>
      <c r="B380" s="1" t="s">
        <v>722</v>
      </c>
      <c r="C380" s="1" t="s">
        <v>621</v>
      </c>
      <c r="D380" s="1" t="s">
        <v>74</v>
      </c>
      <c r="E380" s="1" t="s">
        <v>844</v>
      </c>
      <c r="F380" s="1" t="s">
        <v>845</v>
      </c>
      <c r="G380" s="1" t="s">
        <v>551</v>
      </c>
      <c r="H380" s="1" t="s">
        <v>550</v>
      </c>
    </row>
    <row r="381" spans="1:9" x14ac:dyDescent="0.25">
      <c r="A381" s="1" t="s">
        <v>611</v>
      </c>
      <c r="B381" s="1" t="s">
        <v>722</v>
      </c>
      <c r="C381" s="1" t="s">
        <v>621</v>
      </c>
      <c r="D381" s="1" t="s">
        <v>74</v>
      </c>
      <c r="E381" s="1" t="s">
        <v>836</v>
      </c>
      <c r="F381" s="1" t="s">
        <v>837</v>
      </c>
      <c r="G381" s="1" t="s">
        <v>551</v>
      </c>
      <c r="H381" s="1" t="s">
        <v>550</v>
      </c>
    </row>
    <row r="382" spans="1:9" x14ac:dyDescent="0.25">
      <c r="A382" s="1" t="s">
        <v>611</v>
      </c>
      <c r="B382" s="1" t="s">
        <v>722</v>
      </c>
      <c r="C382" s="1" t="s">
        <v>621</v>
      </c>
      <c r="D382" s="1" t="s">
        <v>1099</v>
      </c>
      <c r="E382" s="1" t="s">
        <v>715</v>
      </c>
      <c r="F382" s="1" t="s">
        <v>614</v>
      </c>
      <c r="G382" s="1" t="s">
        <v>550</v>
      </c>
      <c r="H382" s="1" t="s">
        <v>551</v>
      </c>
      <c r="I382" s="11">
        <v>0.1</v>
      </c>
    </row>
    <row r="383" spans="1:9" x14ac:dyDescent="0.25">
      <c r="A383" s="1" t="s">
        <v>611</v>
      </c>
      <c r="B383" s="1" t="s">
        <v>722</v>
      </c>
      <c r="C383" s="1" t="s">
        <v>621</v>
      </c>
      <c r="D383" s="1" t="s">
        <v>1099</v>
      </c>
      <c r="E383" s="1" t="s">
        <v>858</v>
      </c>
      <c r="F383" s="1" t="s">
        <v>612</v>
      </c>
      <c r="G383" s="1" t="s">
        <v>550</v>
      </c>
      <c r="H383" s="1" t="s">
        <v>551</v>
      </c>
      <c r="I383" s="11">
        <v>0.9</v>
      </c>
    </row>
    <row r="384" spans="1:9" x14ac:dyDescent="0.25">
      <c r="A384" s="1" t="s">
        <v>611</v>
      </c>
      <c r="B384" s="1" t="s">
        <v>723</v>
      </c>
      <c r="C384" s="1" t="s">
        <v>622</v>
      </c>
      <c r="D384" s="1" t="s">
        <v>74</v>
      </c>
      <c r="E384" s="1" t="s">
        <v>844</v>
      </c>
      <c r="F384" s="1" t="s">
        <v>845</v>
      </c>
      <c r="G384" s="1" t="s">
        <v>551</v>
      </c>
      <c r="H384" s="1" t="s">
        <v>550</v>
      </c>
    </row>
    <row r="385" spans="1:9" x14ac:dyDescent="0.25">
      <c r="A385" s="1" t="s">
        <v>611</v>
      </c>
      <c r="B385" s="1" t="s">
        <v>723</v>
      </c>
      <c r="C385" s="1" t="s">
        <v>622</v>
      </c>
      <c r="D385" s="1" t="s">
        <v>74</v>
      </c>
      <c r="E385" s="1" t="s">
        <v>836</v>
      </c>
      <c r="F385" s="1" t="s">
        <v>837</v>
      </c>
      <c r="G385" s="1" t="s">
        <v>551</v>
      </c>
      <c r="H385" s="1" t="s">
        <v>550</v>
      </c>
    </row>
    <row r="386" spans="1:9" x14ac:dyDescent="0.25">
      <c r="A386" s="1" t="s">
        <v>611</v>
      </c>
      <c r="B386" s="1" t="s">
        <v>723</v>
      </c>
      <c r="C386" s="1" t="s">
        <v>622</v>
      </c>
      <c r="D386" s="1" t="s">
        <v>74</v>
      </c>
      <c r="E386" s="1" t="s">
        <v>846</v>
      </c>
      <c r="F386" s="1" t="s">
        <v>847</v>
      </c>
      <c r="G386" s="1" t="s">
        <v>551</v>
      </c>
      <c r="H386" s="1" t="s">
        <v>550</v>
      </c>
    </row>
    <row r="387" spans="1:9" x14ac:dyDescent="0.25">
      <c r="A387" s="1" t="s">
        <v>611</v>
      </c>
      <c r="B387" s="1" t="s">
        <v>723</v>
      </c>
      <c r="C387" s="1" t="s">
        <v>622</v>
      </c>
      <c r="D387" s="1" t="s">
        <v>74</v>
      </c>
      <c r="E387" s="1" t="s">
        <v>848</v>
      </c>
      <c r="F387" s="1" t="s">
        <v>849</v>
      </c>
      <c r="G387" s="1" t="s">
        <v>551</v>
      </c>
      <c r="H387" s="1" t="s">
        <v>550</v>
      </c>
    </row>
    <row r="388" spans="1:9" x14ac:dyDescent="0.25">
      <c r="A388" s="1" t="s">
        <v>611</v>
      </c>
      <c r="B388" s="1" t="s">
        <v>723</v>
      </c>
      <c r="C388" s="1" t="s">
        <v>622</v>
      </c>
      <c r="D388" s="1" t="s">
        <v>74</v>
      </c>
      <c r="E388" s="1" t="s">
        <v>850</v>
      </c>
      <c r="F388" s="1" t="s">
        <v>851</v>
      </c>
      <c r="G388" s="1" t="s">
        <v>551</v>
      </c>
      <c r="H388" s="1" t="s">
        <v>550</v>
      </c>
    </row>
    <row r="389" spans="1:9" x14ac:dyDescent="0.25">
      <c r="A389" s="1" t="s">
        <v>611</v>
      </c>
      <c r="B389" s="1" t="s">
        <v>723</v>
      </c>
      <c r="C389" s="1" t="s">
        <v>622</v>
      </c>
      <c r="D389" s="1" t="s">
        <v>74</v>
      </c>
      <c r="E389" s="1" t="s">
        <v>842</v>
      </c>
      <c r="F389" s="1" t="s">
        <v>843</v>
      </c>
      <c r="G389" s="1" t="s">
        <v>551</v>
      </c>
      <c r="H389" s="1" t="s">
        <v>550</v>
      </c>
    </row>
    <row r="390" spans="1:9" x14ac:dyDescent="0.25">
      <c r="A390" s="1" t="s">
        <v>611</v>
      </c>
      <c r="B390" s="1" t="s">
        <v>723</v>
      </c>
      <c r="C390" s="1" t="s">
        <v>622</v>
      </c>
      <c r="D390" s="1" t="s">
        <v>1099</v>
      </c>
      <c r="E390" s="1" t="s">
        <v>715</v>
      </c>
      <c r="F390" s="1" t="s">
        <v>614</v>
      </c>
      <c r="G390" s="1" t="s">
        <v>550</v>
      </c>
      <c r="H390" s="1" t="s">
        <v>551</v>
      </c>
      <c r="I390" s="11">
        <v>0.1</v>
      </c>
    </row>
    <row r="391" spans="1:9" x14ac:dyDescent="0.25">
      <c r="A391" s="1" t="s">
        <v>611</v>
      </c>
      <c r="B391" s="1" t="s">
        <v>723</v>
      </c>
      <c r="C391" s="1" t="s">
        <v>622</v>
      </c>
      <c r="D391" s="1" t="s">
        <v>1099</v>
      </c>
      <c r="E391" s="1" t="s">
        <v>858</v>
      </c>
      <c r="F391" s="1" t="s">
        <v>612</v>
      </c>
      <c r="G391" s="1" t="s">
        <v>550</v>
      </c>
      <c r="H391" s="1" t="s">
        <v>551</v>
      </c>
      <c r="I391" s="11">
        <v>0.9</v>
      </c>
    </row>
    <row r="392" spans="1:9" x14ac:dyDescent="0.25">
      <c r="A392" s="1" t="s">
        <v>611</v>
      </c>
      <c r="B392" s="1" t="s">
        <v>724</v>
      </c>
      <c r="C392" s="1" t="s">
        <v>623</v>
      </c>
      <c r="D392" s="1" t="s">
        <v>74</v>
      </c>
      <c r="E392" s="1" t="s">
        <v>836</v>
      </c>
      <c r="F392" s="1" t="s">
        <v>837</v>
      </c>
      <c r="G392" s="1" t="s">
        <v>551</v>
      </c>
      <c r="H392" s="1" t="s">
        <v>550</v>
      </c>
    </row>
    <row r="393" spans="1:9" x14ac:dyDescent="0.25">
      <c r="A393" s="1" t="s">
        <v>611</v>
      </c>
      <c r="B393" s="1" t="s">
        <v>724</v>
      </c>
      <c r="C393" s="1" t="s">
        <v>623</v>
      </c>
      <c r="D393" s="1" t="s">
        <v>74</v>
      </c>
      <c r="E393" s="1" t="s">
        <v>848</v>
      </c>
      <c r="F393" s="1" t="s">
        <v>849</v>
      </c>
      <c r="G393" s="1" t="s">
        <v>551</v>
      </c>
      <c r="H393" s="1" t="s">
        <v>550</v>
      </c>
    </row>
    <row r="394" spans="1:9" x14ac:dyDescent="0.25">
      <c r="A394" s="1" t="s">
        <v>611</v>
      </c>
      <c r="B394" s="1" t="s">
        <v>724</v>
      </c>
      <c r="C394" s="1" t="s">
        <v>623</v>
      </c>
      <c r="D394" s="1" t="s">
        <v>74</v>
      </c>
      <c r="E394" s="1" t="s">
        <v>850</v>
      </c>
      <c r="F394" s="1" t="s">
        <v>851</v>
      </c>
      <c r="G394" s="1" t="s">
        <v>551</v>
      </c>
      <c r="H394" s="1" t="s">
        <v>550</v>
      </c>
    </row>
    <row r="395" spans="1:9" x14ac:dyDescent="0.25">
      <c r="A395" s="1" t="s">
        <v>611</v>
      </c>
      <c r="B395" s="1" t="s">
        <v>724</v>
      </c>
      <c r="C395" s="1" t="s">
        <v>623</v>
      </c>
      <c r="D395" s="1" t="s">
        <v>74</v>
      </c>
      <c r="E395" s="1" t="s">
        <v>842</v>
      </c>
      <c r="F395" s="1" t="s">
        <v>843</v>
      </c>
      <c r="G395" s="1" t="s">
        <v>551</v>
      </c>
      <c r="H395" s="1" t="s">
        <v>550</v>
      </c>
    </row>
    <row r="396" spans="1:9" x14ac:dyDescent="0.25">
      <c r="A396" s="1" t="s">
        <v>611</v>
      </c>
      <c r="B396" s="1" t="s">
        <v>724</v>
      </c>
      <c r="C396" s="1" t="s">
        <v>623</v>
      </c>
      <c r="D396" s="1" t="s">
        <v>74</v>
      </c>
      <c r="E396" s="1" t="s">
        <v>846</v>
      </c>
      <c r="F396" s="1" t="s">
        <v>847</v>
      </c>
      <c r="G396" s="1" t="s">
        <v>551</v>
      </c>
      <c r="H396" s="1" t="s">
        <v>550</v>
      </c>
    </row>
    <row r="397" spans="1:9" x14ac:dyDescent="0.25">
      <c r="A397" s="1" t="s">
        <v>611</v>
      </c>
      <c r="B397" s="1" t="s">
        <v>724</v>
      </c>
      <c r="C397" s="1" t="s">
        <v>623</v>
      </c>
      <c r="D397" s="1" t="s">
        <v>74</v>
      </c>
      <c r="E397" s="1" t="s">
        <v>844</v>
      </c>
      <c r="F397" s="1" t="s">
        <v>845</v>
      </c>
      <c r="G397" s="1" t="s">
        <v>551</v>
      </c>
      <c r="H397" s="1" t="s">
        <v>550</v>
      </c>
    </row>
    <row r="398" spans="1:9" x14ac:dyDescent="0.25">
      <c r="A398" s="1" t="s">
        <v>611</v>
      </c>
      <c r="B398" s="1" t="s">
        <v>724</v>
      </c>
      <c r="C398" s="1" t="s">
        <v>623</v>
      </c>
      <c r="D398" s="1" t="s">
        <v>1099</v>
      </c>
      <c r="E398" s="1" t="s">
        <v>715</v>
      </c>
      <c r="F398" s="1" t="s">
        <v>614</v>
      </c>
      <c r="G398" s="1" t="s">
        <v>550</v>
      </c>
      <c r="H398" s="1" t="s">
        <v>551</v>
      </c>
      <c r="I398" s="11">
        <v>0.1</v>
      </c>
    </row>
    <row r="399" spans="1:9" x14ac:dyDescent="0.25">
      <c r="A399" s="1" t="s">
        <v>611</v>
      </c>
      <c r="B399" s="1" t="s">
        <v>724</v>
      </c>
      <c r="C399" s="1" t="s">
        <v>623</v>
      </c>
      <c r="D399" s="1" t="s">
        <v>1099</v>
      </c>
      <c r="E399" s="1" t="s">
        <v>858</v>
      </c>
      <c r="F399" s="1" t="s">
        <v>612</v>
      </c>
      <c r="G399" s="1" t="s">
        <v>550</v>
      </c>
      <c r="H399" s="1" t="s">
        <v>551</v>
      </c>
      <c r="I399" s="11">
        <v>0.9</v>
      </c>
    </row>
    <row r="400" spans="1:9" x14ac:dyDescent="0.25">
      <c r="A400" s="1" t="s">
        <v>611</v>
      </c>
      <c r="B400" s="1" t="s">
        <v>725</v>
      </c>
      <c r="C400" s="1" t="s">
        <v>624</v>
      </c>
      <c r="D400" s="1" t="s">
        <v>74</v>
      </c>
      <c r="E400" s="1" t="s">
        <v>844</v>
      </c>
      <c r="F400" s="1" t="s">
        <v>845</v>
      </c>
      <c r="G400" s="1" t="s">
        <v>551</v>
      </c>
      <c r="H400" s="1" t="s">
        <v>550</v>
      </c>
    </row>
    <row r="401" spans="1:9" x14ac:dyDescent="0.25">
      <c r="A401" s="1" t="s">
        <v>611</v>
      </c>
      <c r="B401" s="1" t="s">
        <v>725</v>
      </c>
      <c r="C401" s="1" t="s">
        <v>624</v>
      </c>
      <c r="D401" s="1" t="s">
        <v>74</v>
      </c>
      <c r="E401" s="1" t="s">
        <v>836</v>
      </c>
      <c r="F401" s="1" t="s">
        <v>837</v>
      </c>
      <c r="G401" s="1" t="s">
        <v>551</v>
      </c>
      <c r="H401" s="1" t="s">
        <v>550</v>
      </c>
    </row>
    <row r="402" spans="1:9" x14ac:dyDescent="0.25">
      <c r="A402" s="1" t="s">
        <v>611</v>
      </c>
      <c r="B402" s="1" t="s">
        <v>725</v>
      </c>
      <c r="C402" s="1" t="s">
        <v>624</v>
      </c>
      <c r="D402" s="1" t="s">
        <v>74</v>
      </c>
      <c r="E402" s="1" t="s">
        <v>846</v>
      </c>
      <c r="F402" s="1" t="s">
        <v>847</v>
      </c>
      <c r="G402" s="1" t="s">
        <v>551</v>
      </c>
      <c r="H402" s="1" t="s">
        <v>550</v>
      </c>
    </row>
    <row r="403" spans="1:9" x14ac:dyDescent="0.25">
      <c r="A403" s="1" t="s">
        <v>611</v>
      </c>
      <c r="B403" s="1" t="s">
        <v>725</v>
      </c>
      <c r="C403" s="1" t="s">
        <v>624</v>
      </c>
      <c r="D403" s="1" t="s">
        <v>74</v>
      </c>
      <c r="E403" s="1" t="s">
        <v>848</v>
      </c>
      <c r="F403" s="1" t="s">
        <v>849</v>
      </c>
      <c r="G403" s="1" t="s">
        <v>551</v>
      </c>
      <c r="H403" s="1" t="s">
        <v>550</v>
      </c>
    </row>
    <row r="404" spans="1:9" x14ac:dyDescent="0.25">
      <c r="A404" s="1" t="s">
        <v>611</v>
      </c>
      <c r="B404" s="1" t="s">
        <v>725</v>
      </c>
      <c r="C404" s="1" t="s">
        <v>624</v>
      </c>
      <c r="D404" s="1" t="s">
        <v>74</v>
      </c>
      <c r="E404" s="1" t="s">
        <v>850</v>
      </c>
      <c r="F404" s="1" t="s">
        <v>851</v>
      </c>
      <c r="G404" s="1" t="s">
        <v>551</v>
      </c>
      <c r="H404" s="1" t="s">
        <v>550</v>
      </c>
    </row>
    <row r="405" spans="1:9" x14ac:dyDescent="0.25">
      <c r="A405" s="1" t="s">
        <v>611</v>
      </c>
      <c r="B405" s="1" t="s">
        <v>725</v>
      </c>
      <c r="C405" s="1" t="s">
        <v>624</v>
      </c>
      <c r="D405" s="1" t="s">
        <v>74</v>
      </c>
      <c r="E405" s="1" t="s">
        <v>842</v>
      </c>
      <c r="F405" s="1" t="s">
        <v>843</v>
      </c>
      <c r="G405" s="1" t="s">
        <v>551</v>
      </c>
      <c r="H405" s="1" t="s">
        <v>550</v>
      </c>
    </row>
    <row r="406" spans="1:9" x14ac:dyDescent="0.25">
      <c r="A406" s="1" t="s">
        <v>611</v>
      </c>
      <c r="B406" s="1" t="s">
        <v>725</v>
      </c>
      <c r="C406" s="1" t="s">
        <v>624</v>
      </c>
      <c r="D406" s="1" t="s">
        <v>1099</v>
      </c>
      <c r="E406" s="1" t="s">
        <v>715</v>
      </c>
      <c r="F406" s="1" t="s">
        <v>614</v>
      </c>
      <c r="G406" s="1" t="s">
        <v>550</v>
      </c>
      <c r="H406" s="1" t="s">
        <v>551</v>
      </c>
      <c r="I406" s="11">
        <v>0.1</v>
      </c>
    </row>
    <row r="407" spans="1:9" x14ac:dyDescent="0.25">
      <c r="A407" s="1" t="s">
        <v>611</v>
      </c>
      <c r="B407" s="1" t="s">
        <v>725</v>
      </c>
      <c r="C407" s="1" t="s">
        <v>624</v>
      </c>
      <c r="D407" s="1" t="s">
        <v>1099</v>
      </c>
      <c r="E407" s="1" t="s">
        <v>858</v>
      </c>
      <c r="F407" s="1" t="s">
        <v>612</v>
      </c>
      <c r="G407" s="1" t="s">
        <v>550</v>
      </c>
      <c r="H407" s="1" t="s">
        <v>551</v>
      </c>
      <c r="I407" s="11">
        <v>0.9</v>
      </c>
    </row>
    <row r="408" spans="1:9" x14ac:dyDescent="0.25">
      <c r="A408" s="1" t="s">
        <v>611</v>
      </c>
      <c r="B408" s="1" t="s">
        <v>726</v>
      </c>
      <c r="C408" s="1" t="s">
        <v>625</v>
      </c>
      <c r="D408" s="1" t="s">
        <v>74</v>
      </c>
      <c r="E408" s="1" t="s">
        <v>844</v>
      </c>
      <c r="F408" s="1" t="s">
        <v>845</v>
      </c>
      <c r="G408" s="1" t="s">
        <v>551</v>
      </c>
      <c r="H408" s="1" t="s">
        <v>550</v>
      </c>
    </row>
    <row r="409" spans="1:9" x14ac:dyDescent="0.25">
      <c r="A409" s="1" t="s">
        <v>611</v>
      </c>
      <c r="B409" s="1" t="s">
        <v>726</v>
      </c>
      <c r="C409" s="1" t="s">
        <v>625</v>
      </c>
      <c r="D409" s="1" t="s">
        <v>74</v>
      </c>
      <c r="E409" s="1" t="s">
        <v>836</v>
      </c>
      <c r="F409" s="1" t="s">
        <v>837</v>
      </c>
      <c r="G409" s="1" t="s">
        <v>551</v>
      </c>
      <c r="H409" s="1" t="s">
        <v>550</v>
      </c>
    </row>
    <row r="410" spans="1:9" x14ac:dyDescent="0.25">
      <c r="A410" s="1" t="s">
        <v>611</v>
      </c>
      <c r="B410" s="1" t="s">
        <v>726</v>
      </c>
      <c r="C410" s="1" t="s">
        <v>625</v>
      </c>
      <c r="D410" s="1" t="s">
        <v>74</v>
      </c>
      <c r="E410" s="1" t="s">
        <v>846</v>
      </c>
      <c r="F410" s="1" t="s">
        <v>847</v>
      </c>
      <c r="G410" s="1" t="s">
        <v>551</v>
      </c>
      <c r="H410" s="1" t="s">
        <v>550</v>
      </c>
    </row>
    <row r="411" spans="1:9" x14ac:dyDescent="0.25">
      <c r="A411" s="1" t="s">
        <v>611</v>
      </c>
      <c r="B411" s="1" t="s">
        <v>726</v>
      </c>
      <c r="C411" s="1" t="s">
        <v>625</v>
      </c>
      <c r="D411" s="1" t="s">
        <v>74</v>
      </c>
      <c r="E411" s="1" t="s">
        <v>848</v>
      </c>
      <c r="F411" s="1" t="s">
        <v>849</v>
      </c>
      <c r="G411" s="1" t="s">
        <v>551</v>
      </c>
      <c r="H411" s="1" t="s">
        <v>550</v>
      </c>
    </row>
    <row r="412" spans="1:9" x14ac:dyDescent="0.25">
      <c r="A412" s="1" t="s">
        <v>611</v>
      </c>
      <c r="B412" s="1" t="s">
        <v>726</v>
      </c>
      <c r="C412" s="1" t="s">
        <v>625</v>
      </c>
      <c r="D412" s="1" t="s">
        <v>74</v>
      </c>
      <c r="E412" s="1" t="s">
        <v>850</v>
      </c>
      <c r="F412" s="1" t="s">
        <v>851</v>
      </c>
      <c r="G412" s="1" t="s">
        <v>551</v>
      </c>
      <c r="H412" s="1" t="s">
        <v>550</v>
      </c>
    </row>
    <row r="413" spans="1:9" x14ac:dyDescent="0.25">
      <c r="A413" s="1" t="s">
        <v>611</v>
      </c>
      <c r="B413" s="1" t="s">
        <v>726</v>
      </c>
      <c r="C413" s="1" t="s">
        <v>625</v>
      </c>
      <c r="D413" s="1" t="s">
        <v>74</v>
      </c>
      <c r="E413" s="1" t="s">
        <v>842</v>
      </c>
      <c r="F413" s="1" t="s">
        <v>843</v>
      </c>
      <c r="G413" s="1" t="s">
        <v>551</v>
      </c>
      <c r="H413" s="1" t="s">
        <v>550</v>
      </c>
    </row>
    <row r="414" spans="1:9" x14ac:dyDescent="0.25">
      <c r="A414" s="1" t="s">
        <v>611</v>
      </c>
      <c r="B414" s="1" t="s">
        <v>726</v>
      </c>
      <c r="C414" s="1" t="s">
        <v>625</v>
      </c>
      <c r="D414" s="1" t="s">
        <v>1099</v>
      </c>
      <c r="E414" s="1" t="s">
        <v>715</v>
      </c>
      <c r="F414" s="1" t="s">
        <v>614</v>
      </c>
      <c r="G414" s="1" t="s">
        <v>550</v>
      </c>
      <c r="H414" s="1" t="s">
        <v>551</v>
      </c>
      <c r="I414" s="11">
        <v>0.1</v>
      </c>
    </row>
    <row r="415" spans="1:9" x14ac:dyDescent="0.25">
      <c r="A415" s="1" t="s">
        <v>611</v>
      </c>
      <c r="B415" s="1" t="s">
        <v>726</v>
      </c>
      <c r="C415" s="1" t="s">
        <v>625</v>
      </c>
      <c r="D415" s="1" t="s">
        <v>1099</v>
      </c>
      <c r="E415" s="1" t="s">
        <v>858</v>
      </c>
      <c r="F415" s="1" t="s">
        <v>612</v>
      </c>
      <c r="G415" s="1" t="s">
        <v>550</v>
      </c>
      <c r="H415" s="1" t="s">
        <v>551</v>
      </c>
      <c r="I415" s="11">
        <v>0.9</v>
      </c>
    </row>
    <row r="416" spans="1:9" x14ac:dyDescent="0.25">
      <c r="A416" s="1" t="s">
        <v>611</v>
      </c>
      <c r="B416" s="1" t="s">
        <v>727</v>
      </c>
      <c r="C416" s="1" t="s">
        <v>626</v>
      </c>
      <c r="D416" s="1" t="s">
        <v>74</v>
      </c>
      <c r="E416" s="1" t="s">
        <v>844</v>
      </c>
      <c r="F416" s="1" t="s">
        <v>845</v>
      </c>
      <c r="G416" s="1" t="s">
        <v>551</v>
      </c>
      <c r="H416" s="1" t="s">
        <v>550</v>
      </c>
    </row>
    <row r="417" spans="1:9" x14ac:dyDescent="0.25">
      <c r="A417" s="1" t="s">
        <v>611</v>
      </c>
      <c r="B417" s="1" t="s">
        <v>727</v>
      </c>
      <c r="C417" s="1" t="s">
        <v>626</v>
      </c>
      <c r="D417" s="1" t="s">
        <v>74</v>
      </c>
      <c r="E417" s="1" t="s">
        <v>836</v>
      </c>
      <c r="F417" s="1" t="s">
        <v>837</v>
      </c>
      <c r="G417" s="1" t="s">
        <v>551</v>
      </c>
      <c r="H417" s="1" t="s">
        <v>550</v>
      </c>
    </row>
    <row r="418" spans="1:9" x14ac:dyDescent="0.25">
      <c r="A418" s="1" t="s">
        <v>611</v>
      </c>
      <c r="B418" s="1" t="s">
        <v>727</v>
      </c>
      <c r="C418" s="1" t="s">
        <v>626</v>
      </c>
      <c r="D418" s="1" t="s">
        <v>74</v>
      </c>
      <c r="E418" s="1" t="s">
        <v>846</v>
      </c>
      <c r="F418" s="1" t="s">
        <v>847</v>
      </c>
      <c r="G418" s="1" t="s">
        <v>551</v>
      </c>
      <c r="H418" s="1" t="s">
        <v>550</v>
      </c>
    </row>
    <row r="419" spans="1:9" x14ac:dyDescent="0.25">
      <c r="A419" s="1" t="s">
        <v>611</v>
      </c>
      <c r="B419" s="1" t="s">
        <v>727</v>
      </c>
      <c r="C419" s="1" t="s">
        <v>626</v>
      </c>
      <c r="D419" s="1" t="s">
        <v>74</v>
      </c>
      <c r="E419" s="1" t="s">
        <v>848</v>
      </c>
      <c r="F419" s="1" t="s">
        <v>849</v>
      </c>
      <c r="G419" s="1" t="s">
        <v>551</v>
      </c>
      <c r="H419" s="1" t="s">
        <v>550</v>
      </c>
    </row>
    <row r="420" spans="1:9" x14ac:dyDescent="0.25">
      <c r="A420" s="1" t="s">
        <v>611</v>
      </c>
      <c r="B420" s="1" t="s">
        <v>727</v>
      </c>
      <c r="C420" s="1" t="s">
        <v>626</v>
      </c>
      <c r="D420" s="1" t="s">
        <v>74</v>
      </c>
      <c r="E420" s="1" t="s">
        <v>850</v>
      </c>
      <c r="F420" s="1" t="s">
        <v>851</v>
      </c>
      <c r="G420" s="1" t="s">
        <v>551</v>
      </c>
      <c r="H420" s="1" t="s">
        <v>550</v>
      </c>
    </row>
    <row r="421" spans="1:9" x14ac:dyDescent="0.25">
      <c r="A421" s="1" t="s">
        <v>611</v>
      </c>
      <c r="B421" s="1" t="s">
        <v>727</v>
      </c>
      <c r="C421" s="1" t="s">
        <v>626</v>
      </c>
      <c r="D421" s="1" t="s">
        <v>74</v>
      </c>
      <c r="E421" s="1" t="s">
        <v>842</v>
      </c>
      <c r="F421" s="1" t="s">
        <v>843</v>
      </c>
      <c r="G421" s="1" t="s">
        <v>551</v>
      </c>
      <c r="H421" s="1" t="s">
        <v>550</v>
      </c>
    </row>
    <row r="422" spans="1:9" x14ac:dyDescent="0.25">
      <c r="A422" s="1" t="s">
        <v>611</v>
      </c>
      <c r="B422" s="1" t="s">
        <v>727</v>
      </c>
      <c r="C422" s="1" t="s">
        <v>626</v>
      </c>
      <c r="D422" s="1" t="s">
        <v>1099</v>
      </c>
      <c r="E422" s="1" t="s">
        <v>715</v>
      </c>
      <c r="F422" s="1" t="s">
        <v>614</v>
      </c>
      <c r="G422" s="1" t="s">
        <v>550</v>
      </c>
      <c r="H422" s="1" t="s">
        <v>551</v>
      </c>
      <c r="I422" s="11">
        <v>0.1</v>
      </c>
    </row>
    <row r="423" spans="1:9" x14ac:dyDescent="0.25">
      <c r="A423" s="1" t="s">
        <v>611</v>
      </c>
      <c r="B423" s="1" t="s">
        <v>727</v>
      </c>
      <c r="C423" s="1" t="s">
        <v>626</v>
      </c>
      <c r="D423" s="1" t="s">
        <v>1099</v>
      </c>
      <c r="E423" s="1" t="s">
        <v>858</v>
      </c>
      <c r="F423" s="1" t="s">
        <v>612</v>
      </c>
      <c r="G423" s="1" t="s">
        <v>550</v>
      </c>
      <c r="H423" s="1" t="s">
        <v>551</v>
      </c>
      <c r="I423" s="11">
        <v>0.9</v>
      </c>
    </row>
    <row r="424" spans="1:9" x14ac:dyDescent="0.25">
      <c r="A424" s="1" t="s">
        <v>611</v>
      </c>
      <c r="B424" s="1" t="s">
        <v>728</v>
      </c>
      <c r="C424" s="1" t="s">
        <v>627</v>
      </c>
      <c r="D424" s="1" t="s">
        <v>74</v>
      </c>
      <c r="E424" s="1" t="s">
        <v>844</v>
      </c>
      <c r="F424" s="1" t="s">
        <v>845</v>
      </c>
      <c r="G424" s="1" t="s">
        <v>551</v>
      </c>
      <c r="H424" s="1" t="s">
        <v>550</v>
      </c>
    </row>
    <row r="425" spans="1:9" x14ac:dyDescent="0.25">
      <c r="A425" s="1" t="s">
        <v>611</v>
      </c>
      <c r="B425" s="1" t="s">
        <v>728</v>
      </c>
      <c r="C425" s="1" t="s">
        <v>627</v>
      </c>
      <c r="D425" s="1" t="s">
        <v>74</v>
      </c>
      <c r="E425" s="1" t="s">
        <v>836</v>
      </c>
      <c r="F425" s="1" t="s">
        <v>837</v>
      </c>
      <c r="G425" s="1" t="s">
        <v>551</v>
      </c>
      <c r="H425" s="1" t="s">
        <v>550</v>
      </c>
    </row>
    <row r="426" spans="1:9" x14ac:dyDescent="0.25">
      <c r="A426" s="1" t="s">
        <v>611</v>
      </c>
      <c r="B426" s="1" t="s">
        <v>728</v>
      </c>
      <c r="C426" s="1" t="s">
        <v>627</v>
      </c>
      <c r="D426" s="1" t="s">
        <v>74</v>
      </c>
      <c r="E426" s="1" t="s">
        <v>846</v>
      </c>
      <c r="F426" s="1" t="s">
        <v>847</v>
      </c>
      <c r="G426" s="1" t="s">
        <v>551</v>
      </c>
      <c r="H426" s="1" t="s">
        <v>550</v>
      </c>
    </row>
    <row r="427" spans="1:9" x14ac:dyDescent="0.25">
      <c r="A427" s="1" t="s">
        <v>611</v>
      </c>
      <c r="B427" s="1" t="s">
        <v>728</v>
      </c>
      <c r="C427" s="1" t="s">
        <v>627</v>
      </c>
      <c r="D427" s="1" t="s">
        <v>74</v>
      </c>
      <c r="E427" s="1" t="s">
        <v>848</v>
      </c>
      <c r="F427" s="1" t="s">
        <v>849</v>
      </c>
      <c r="G427" s="1" t="s">
        <v>551</v>
      </c>
      <c r="H427" s="1" t="s">
        <v>550</v>
      </c>
    </row>
    <row r="428" spans="1:9" x14ac:dyDescent="0.25">
      <c r="A428" s="1" t="s">
        <v>611</v>
      </c>
      <c r="B428" s="1" t="s">
        <v>728</v>
      </c>
      <c r="C428" s="1" t="s">
        <v>627</v>
      </c>
      <c r="D428" s="1" t="s">
        <v>74</v>
      </c>
      <c r="E428" s="1" t="s">
        <v>850</v>
      </c>
      <c r="F428" s="1" t="s">
        <v>851</v>
      </c>
      <c r="G428" s="1" t="s">
        <v>551</v>
      </c>
      <c r="H428" s="1" t="s">
        <v>550</v>
      </c>
    </row>
    <row r="429" spans="1:9" x14ac:dyDescent="0.25">
      <c r="A429" s="1" t="s">
        <v>611</v>
      </c>
      <c r="B429" s="1" t="s">
        <v>728</v>
      </c>
      <c r="C429" s="1" t="s">
        <v>627</v>
      </c>
      <c r="D429" s="1" t="s">
        <v>74</v>
      </c>
      <c r="E429" s="1" t="s">
        <v>842</v>
      </c>
      <c r="F429" s="1" t="s">
        <v>843</v>
      </c>
      <c r="G429" s="1" t="s">
        <v>551</v>
      </c>
      <c r="H429" s="1" t="s">
        <v>550</v>
      </c>
    </row>
    <row r="430" spans="1:9" x14ac:dyDescent="0.25">
      <c r="A430" s="1" t="s">
        <v>611</v>
      </c>
      <c r="B430" s="1" t="s">
        <v>728</v>
      </c>
      <c r="C430" s="1" t="s">
        <v>627</v>
      </c>
      <c r="D430" s="1" t="s">
        <v>1099</v>
      </c>
      <c r="E430" s="1" t="s">
        <v>715</v>
      </c>
      <c r="F430" s="1" t="s">
        <v>614</v>
      </c>
      <c r="G430" s="1" t="s">
        <v>550</v>
      </c>
      <c r="H430" s="1" t="s">
        <v>551</v>
      </c>
      <c r="I430" s="11">
        <v>0.01</v>
      </c>
    </row>
    <row r="431" spans="1:9" x14ac:dyDescent="0.25">
      <c r="A431" s="1" t="s">
        <v>611</v>
      </c>
      <c r="B431" s="1" t="s">
        <v>728</v>
      </c>
      <c r="C431" s="1" t="s">
        <v>627</v>
      </c>
      <c r="D431" s="1" t="s">
        <v>1099</v>
      </c>
      <c r="E431" s="1" t="s">
        <v>858</v>
      </c>
      <c r="F431" s="1" t="s">
        <v>612</v>
      </c>
      <c r="G431" s="1" t="s">
        <v>550</v>
      </c>
      <c r="H431" s="1" t="s">
        <v>551</v>
      </c>
      <c r="I431" s="11">
        <v>0.99</v>
      </c>
    </row>
    <row r="432" spans="1:9" x14ac:dyDescent="0.25">
      <c r="A432" s="1" t="s">
        <v>611</v>
      </c>
      <c r="B432" s="1" t="s">
        <v>729</v>
      </c>
      <c r="C432" s="1" t="s">
        <v>628</v>
      </c>
      <c r="D432" s="1" t="s">
        <v>74</v>
      </c>
      <c r="E432" s="1" t="s">
        <v>836</v>
      </c>
      <c r="F432" s="1" t="s">
        <v>837</v>
      </c>
      <c r="G432" s="1" t="s">
        <v>551</v>
      </c>
      <c r="H432" s="1" t="s">
        <v>550</v>
      </c>
    </row>
    <row r="433" spans="1:9" x14ac:dyDescent="0.25">
      <c r="A433" s="1" t="s">
        <v>611</v>
      </c>
      <c r="B433" s="1" t="s">
        <v>729</v>
      </c>
      <c r="C433" s="1" t="s">
        <v>628</v>
      </c>
      <c r="D433" s="1" t="s">
        <v>74</v>
      </c>
      <c r="E433" s="1" t="s">
        <v>846</v>
      </c>
      <c r="F433" s="1" t="s">
        <v>847</v>
      </c>
      <c r="G433" s="1" t="s">
        <v>551</v>
      </c>
      <c r="H433" s="1" t="s">
        <v>550</v>
      </c>
    </row>
    <row r="434" spans="1:9" x14ac:dyDescent="0.25">
      <c r="A434" s="1" t="s">
        <v>611</v>
      </c>
      <c r="B434" s="1" t="s">
        <v>729</v>
      </c>
      <c r="C434" s="1" t="s">
        <v>628</v>
      </c>
      <c r="D434" s="1" t="s">
        <v>74</v>
      </c>
      <c r="E434" s="1" t="s">
        <v>848</v>
      </c>
      <c r="F434" s="1" t="s">
        <v>849</v>
      </c>
      <c r="G434" s="1" t="s">
        <v>551</v>
      </c>
      <c r="H434" s="1" t="s">
        <v>550</v>
      </c>
    </row>
    <row r="435" spans="1:9" x14ac:dyDescent="0.25">
      <c r="A435" s="1" t="s">
        <v>611</v>
      </c>
      <c r="B435" s="1" t="s">
        <v>729</v>
      </c>
      <c r="C435" s="1" t="s">
        <v>628</v>
      </c>
      <c r="D435" s="1" t="s">
        <v>74</v>
      </c>
      <c r="E435" s="1" t="s">
        <v>850</v>
      </c>
      <c r="F435" s="1" t="s">
        <v>851</v>
      </c>
      <c r="G435" s="1" t="s">
        <v>551</v>
      </c>
      <c r="H435" s="1" t="s">
        <v>550</v>
      </c>
    </row>
    <row r="436" spans="1:9" x14ac:dyDescent="0.25">
      <c r="A436" s="1" t="s">
        <v>611</v>
      </c>
      <c r="B436" s="1" t="s">
        <v>729</v>
      </c>
      <c r="C436" s="1" t="s">
        <v>628</v>
      </c>
      <c r="D436" s="1" t="s">
        <v>74</v>
      </c>
      <c r="E436" s="1" t="s">
        <v>870</v>
      </c>
      <c r="F436" s="1" t="s">
        <v>871</v>
      </c>
      <c r="G436" s="1" t="s">
        <v>551</v>
      </c>
      <c r="H436" s="1" t="s">
        <v>550</v>
      </c>
    </row>
    <row r="437" spans="1:9" x14ac:dyDescent="0.25">
      <c r="A437" s="1" t="s">
        <v>611</v>
      </c>
      <c r="B437" s="1" t="s">
        <v>729</v>
      </c>
      <c r="C437" s="1" t="s">
        <v>628</v>
      </c>
      <c r="D437" s="1" t="s">
        <v>74</v>
      </c>
      <c r="E437" s="1" t="s">
        <v>842</v>
      </c>
      <c r="F437" s="1" t="s">
        <v>843</v>
      </c>
      <c r="G437" s="1" t="s">
        <v>551</v>
      </c>
      <c r="H437" s="1" t="s">
        <v>550</v>
      </c>
    </row>
    <row r="438" spans="1:9" x14ac:dyDescent="0.25">
      <c r="A438" s="1" t="s">
        <v>611</v>
      </c>
      <c r="B438" s="1" t="s">
        <v>729</v>
      </c>
      <c r="C438" s="1" t="s">
        <v>628</v>
      </c>
      <c r="D438" s="1" t="s">
        <v>1099</v>
      </c>
      <c r="E438" s="1" t="s">
        <v>872</v>
      </c>
      <c r="F438" s="1" t="s">
        <v>873</v>
      </c>
      <c r="G438" s="1" t="s">
        <v>550</v>
      </c>
      <c r="H438" s="1" t="s">
        <v>551</v>
      </c>
      <c r="I438" s="11">
        <v>0.3</v>
      </c>
    </row>
    <row r="439" spans="1:9" x14ac:dyDescent="0.25">
      <c r="A439" s="1" t="s">
        <v>611</v>
      </c>
      <c r="B439" s="1" t="s">
        <v>729</v>
      </c>
      <c r="C439" s="1" t="s">
        <v>628</v>
      </c>
      <c r="D439" s="1" t="s">
        <v>1099</v>
      </c>
      <c r="E439" s="1" t="s">
        <v>858</v>
      </c>
      <c r="F439" s="1" t="s">
        <v>612</v>
      </c>
      <c r="G439" s="1" t="s">
        <v>550</v>
      </c>
      <c r="H439" s="1" t="s">
        <v>551</v>
      </c>
      <c r="I439" s="11">
        <v>0.7</v>
      </c>
    </row>
    <row r="440" spans="1:9" x14ac:dyDescent="0.25">
      <c r="A440" s="1" t="s">
        <v>611</v>
      </c>
      <c r="B440" s="1" t="s">
        <v>730</v>
      </c>
      <c r="C440" s="1" t="s">
        <v>629</v>
      </c>
      <c r="D440" s="1" t="s">
        <v>74</v>
      </c>
      <c r="E440" s="1" t="s">
        <v>844</v>
      </c>
      <c r="F440" s="1" t="s">
        <v>845</v>
      </c>
      <c r="G440" s="1" t="s">
        <v>551</v>
      </c>
      <c r="H440" s="1" t="s">
        <v>550</v>
      </c>
    </row>
    <row r="441" spans="1:9" x14ac:dyDescent="0.25">
      <c r="A441" s="1" t="s">
        <v>611</v>
      </c>
      <c r="B441" s="1" t="s">
        <v>730</v>
      </c>
      <c r="C441" s="1" t="s">
        <v>629</v>
      </c>
      <c r="D441" s="1" t="s">
        <v>74</v>
      </c>
      <c r="E441" s="1" t="s">
        <v>836</v>
      </c>
      <c r="F441" s="1" t="s">
        <v>837</v>
      </c>
      <c r="G441" s="1" t="s">
        <v>551</v>
      </c>
      <c r="H441" s="1" t="s">
        <v>550</v>
      </c>
    </row>
    <row r="442" spans="1:9" x14ac:dyDescent="0.25">
      <c r="A442" s="1" t="s">
        <v>611</v>
      </c>
      <c r="B442" s="1" t="s">
        <v>730</v>
      </c>
      <c r="C442" s="1" t="s">
        <v>629</v>
      </c>
      <c r="D442" s="1" t="s">
        <v>74</v>
      </c>
      <c r="E442" s="1" t="s">
        <v>846</v>
      </c>
      <c r="F442" s="1" t="s">
        <v>847</v>
      </c>
      <c r="G442" s="1" t="s">
        <v>551</v>
      </c>
      <c r="H442" s="1" t="s">
        <v>550</v>
      </c>
    </row>
    <row r="443" spans="1:9" x14ac:dyDescent="0.25">
      <c r="A443" s="1" t="s">
        <v>611</v>
      </c>
      <c r="B443" s="1" t="s">
        <v>730</v>
      </c>
      <c r="C443" s="1" t="s">
        <v>629</v>
      </c>
      <c r="D443" s="1" t="s">
        <v>74</v>
      </c>
      <c r="E443" s="1" t="s">
        <v>848</v>
      </c>
      <c r="F443" s="1" t="s">
        <v>849</v>
      </c>
      <c r="G443" s="1" t="s">
        <v>551</v>
      </c>
      <c r="H443" s="1" t="s">
        <v>550</v>
      </c>
    </row>
    <row r="444" spans="1:9" x14ac:dyDescent="0.25">
      <c r="A444" s="1" t="s">
        <v>611</v>
      </c>
      <c r="B444" s="1" t="s">
        <v>730</v>
      </c>
      <c r="C444" s="1" t="s">
        <v>629</v>
      </c>
      <c r="D444" s="1" t="s">
        <v>74</v>
      </c>
      <c r="E444" s="1" t="s">
        <v>850</v>
      </c>
      <c r="F444" s="1" t="s">
        <v>851</v>
      </c>
      <c r="G444" s="1" t="s">
        <v>551</v>
      </c>
      <c r="H444" s="1" t="s">
        <v>550</v>
      </c>
    </row>
    <row r="445" spans="1:9" x14ac:dyDescent="0.25">
      <c r="A445" s="1" t="s">
        <v>611</v>
      </c>
      <c r="B445" s="1" t="s">
        <v>730</v>
      </c>
      <c r="C445" s="1" t="s">
        <v>629</v>
      </c>
      <c r="D445" s="1" t="s">
        <v>74</v>
      </c>
      <c r="E445" s="1" t="s">
        <v>842</v>
      </c>
      <c r="F445" s="1" t="s">
        <v>843</v>
      </c>
      <c r="G445" s="1" t="s">
        <v>551</v>
      </c>
      <c r="H445" s="1" t="s">
        <v>550</v>
      </c>
    </row>
    <row r="446" spans="1:9" x14ac:dyDescent="0.25">
      <c r="A446" s="1" t="s">
        <v>611</v>
      </c>
      <c r="B446" s="1" t="s">
        <v>730</v>
      </c>
      <c r="C446" s="1" t="s">
        <v>629</v>
      </c>
      <c r="D446" s="1" t="s">
        <v>1099</v>
      </c>
      <c r="E446" s="1" t="s">
        <v>858</v>
      </c>
      <c r="F446" s="1" t="s">
        <v>612</v>
      </c>
      <c r="G446" s="1" t="s">
        <v>550</v>
      </c>
      <c r="H446" s="1" t="s">
        <v>551</v>
      </c>
      <c r="I446" s="11">
        <v>1</v>
      </c>
    </row>
    <row r="447" spans="1:9" x14ac:dyDescent="0.25">
      <c r="A447" s="1" t="s">
        <v>611</v>
      </c>
      <c r="B447" s="1" t="s">
        <v>731</v>
      </c>
      <c r="C447" s="1" t="s">
        <v>630</v>
      </c>
      <c r="D447" s="1" t="s">
        <v>74</v>
      </c>
      <c r="E447" s="1" t="s">
        <v>844</v>
      </c>
      <c r="F447" s="1" t="s">
        <v>845</v>
      </c>
      <c r="G447" s="1" t="s">
        <v>551</v>
      </c>
      <c r="H447" s="1" t="s">
        <v>550</v>
      </c>
    </row>
    <row r="448" spans="1:9" x14ac:dyDescent="0.25">
      <c r="A448" s="1" t="s">
        <v>611</v>
      </c>
      <c r="B448" s="1" t="s">
        <v>731</v>
      </c>
      <c r="C448" s="1" t="s">
        <v>630</v>
      </c>
      <c r="D448" s="1" t="s">
        <v>74</v>
      </c>
      <c r="E448" s="1" t="s">
        <v>836</v>
      </c>
      <c r="F448" s="1" t="s">
        <v>837</v>
      </c>
      <c r="G448" s="1" t="s">
        <v>551</v>
      </c>
      <c r="H448" s="1" t="s">
        <v>550</v>
      </c>
    </row>
    <row r="449" spans="1:9" x14ac:dyDescent="0.25">
      <c r="A449" s="1" t="s">
        <v>611</v>
      </c>
      <c r="B449" s="1" t="s">
        <v>731</v>
      </c>
      <c r="C449" s="1" t="s">
        <v>630</v>
      </c>
      <c r="D449" s="1" t="s">
        <v>74</v>
      </c>
      <c r="E449" s="1" t="s">
        <v>846</v>
      </c>
      <c r="F449" s="1" t="s">
        <v>847</v>
      </c>
      <c r="G449" s="1" t="s">
        <v>551</v>
      </c>
      <c r="H449" s="1" t="s">
        <v>550</v>
      </c>
    </row>
    <row r="450" spans="1:9" x14ac:dyDescent="0.25">
      <c r="A450" s="1" t="s">
        <v>611</v>
      </c>
      <c r="B450" s="1" t="s">
        <v>731</v>
      </c>
      <c r="C450" s="1" t="s">
        <v>630</v>
      </c>
      <c r="D450" s="1" t="s">
        <v>74</v>
      </c>
      <c r="E450" s="1" t="s">
        <v>848</v>
      </c>
      <c r="F450" s="1" t="s">
        <v>849</v>
      </c>
      <c r="G450" s="1" t="s">
        <v>551</v>
      </c>
      <c r="H450" s="1" t="s">
        <v>550</v>
      </c>
    </row>
    <row r="451" spans="1:9" x14ac:dyDescent="0.25">
      <c r="A451" s="1" t="s">
        <v>611</v>
      </c>
      <c r="B451" s="1" t="s">
        <v>731</v>
      </c>
      <c r="C451" s="1" t="s">
        <v>630</v>
      </c>
      <c r="D451" s="1" t="s">
        <v>74</v>
      </c>
      <c r="E451" s="1" t="s">
        <v>850</v>
      </c>
      <c r="F451" s="1" t="s">
        <v>851</v>
      </c>
      <c r="G451" s="1" t="s">
        <v>551</v>
      </c>
      <c r="H451" s="1" t="s">
        <v>550</v>
      </c>
    </row>
    <row r="452" spans="1:9" x14ac:dyDescent="0.25">
      <c r="A452" s="1" t="s">
        <v>611</v>
      </c>
      <c r="B452" s="1" t="s">
        <v>731</v>
      </c>
      <c r="C452" s="1" t="s">
        <v>630</v>
      </c>
      <c r="D452" s="1" t="s">
        <v>74</v>
      </c>
      <c r="E452" s="1" t="s">
        <v>842</v>
      </c>
      <c r="F452" s="1" t="s">
        <v>843</v>
      </c>
      <c r="G452" s="1" t="s">
        <v>551</v>
      </c>
      <c r="H452" s="1" t="s">
        <v>550</v>
      </c>
    </row>
    <row r="453" spans="1:9" x14ac:dyDescent="0.25">
      <c r="A453" s="1" t="s">
        <v>611</v>
      </c>
      <c r="B453" s="1" t="s">
        <v>731</v>
      </c>
      <c r="C453" s="1" t="s">
        <v>630</v>
      </c>
      <c r="D453" s="1" t="s">
        <v>1099</v>
      </c>
      <c r="E453" s="1" t="s">
        <v>858</v>
      </c>
      <c r="F453" s="1" t="s">
        <v>612</v>
      </c>
      <c r="G453" s="1" t="s">
        <v>550</v>
      </c>
      <c r="H453" s="1" t="s">
        <v>551</v>
      </c>
      <c r="I453" s="11">
        <v>1</v>
      </c>
    </row>
    <row r="454" spans="1:9" x14ac:dyDescent="0.25">
      <c r="A454" s="1" t="s">
        <v>611</v>
      </c>
      <c r="B454" s="1" t="s">
        <v>732</v>
      </c>
      <c r="C454" s="1" t="s">
        <v>631</v>
      </c>
      <c r="D454" s="1" t="s">
        <v>74</v>
      </c>
      <c r="E454" s="1" t="s">
        <v>874</v>
      </c>
      <c r="F454" s="1" t="s">
        <v>875</v>
      </c>
      <c r="G454" s="1" t="s">
        <v>551</v>
      </c>
      <c r="H454" s="1" t="s">
        <v>550</v>
      </c>
    </row>
    <row r="455" spans="1:9" x14ac:dyDescent="0.25">
      <c r="A455" s="1" t="s">
        <v>611</v>
      </c>
      <c r="B455" s="1" t="s">
        <v>732</v>
      </c>
      <c r="C455" s="1" t="s">
        <v>631</v>
      </c>
      <c r="D455" s="1" t="s">
        <v>74</v>
      </c>
      <c r="E455" s="1" t="s">
        <v>392</v>
      </c>
      <c r="F455" s="1" t="s">
        <v>393</v>
      </c>
      <c r="G455" s="1" t="s">
        <v>551</v>
      </c>
      <c r="H455" s="1" t="s">
        <v>550</v>
      </c>
    </row>
    <row r="456" spans="1:9" x14ac:dyDescent="0.25">
      <c r="A456" s="1" t="s">
        <v>611</v>
      </c>
      <c r="B456" s="1" t="s">
        <v>732</v>
      </c>
      <c r="C456" s="1" t="s">
        <v>631</v>
      </c>
      <c r="D456" s="1" t="s">
        <v>74</v>
      </c>
      <c r="E456" s="1" t="s">
        <v>876</v>
      </c>
      <c r="F456" s="1" t="s">
        <v>877</v>
      </c>
      <c r="G456" s="1" t="s">
        <v>551</v>
      </c>
      <c r="H456" s="1" t="s">
        <v>550</v>
      </c>
    </row>
    <row r="457" spans="1:9" x14ac:dyDescent="0.25">
      <c r="A457" s="1" t="s">
        <v>611</v>
      </c>
      <c r="B457" s="1" t="s">
        <v>732</v>
      </c>
      <c r="C457" s="1" t="s">
        <v>631</v>
      </c>
      <c r="D457" s="1" t="s">
        <v>74</v>
      </c>
      <c r="E457" s="1" t="s">
        <v>878</v>
      </c>
      <c r="F457" s="1" t="s">
        <v>879</v>
      </c>
      <c r="G457" s="1" t="s">
        <v>551</v>
      </c>
      <c r="H457" s="1" t="s">
        <v>550</v>
      </c>
    </row>
    <row r="458" spans="1:9" x14ac:dyDescent="0.25">
      <c r="A458" s="1" t="s">
        <v>611</v>
      </c>
      <c r="B458" s="1" t="s">
        <v>732</v>
      </c>
      <c r="C458" s="1" t="s">
        <v>631</v>
      </c>
      <c r="D458" s="1" t="s">
        <v>74</v>
      </c>
      <c r="E458" s="1" t="s">
        <v>848</v>
      </c>
      <c r="F458" s="1" t="s">
        <v>849</v>
      </c>
      <c r="G458" s="1" t="s">
        <v>551</v>
      </c>
      <c r="H458" s="1" t="s">
        <v>550</v>
      </c>
    </row>
    <row r="459" spans="1:9" x14ac:dyDescent="0.25">
      <c r="A459" s="1" t="s">
        <v>611</v>
      </c>
      <c r="B459" s="1" t="s">
        <v>732</v>
      </c>
      <c r="C459" s="1" t="s">
        <v>631</v>
      </c>
      <c r="D459" s="1" t="s">
        <v>1099</v>
      </c>
      <c r="E459" s="1" t="s">
        <v>858</v>
      </c>
      <c r="F459" s="1" t="s">
        <v>612</v>
      </c>
      <c r="G459" s="1" t="s">
        <v>550</v>
      </c>
      <c r="H459" s="1" t="s">
        <v>551</v>
      </c>
      <c r="I459" s="11">
        <v>1</v>
      </c>
    </row>
    <row r="460" spans="1:9" x14ac:dyDescent="0.25">
      <c r="A460" s="1" t="s">
        <v>611</v>
      </c>
      <c r="B460" s="1" t="s">
        <v>733</v>
      </c>
      <c r="C460" s="1" t="s">
        <v>632</v>
      </c>
      <c r="D460" s="1" t="s">
        <v>74</v>
      </c>
      <c r="E460" s="1" t="s">
        <v>862</v>
      </c>
      <c r="F460" s="1" t="s">
        <v>863</v>
      </c>
      <c r="G460" s="1" t="s">
        <v>551</v>
      </c>
      <c r="H460" s="1" t="s">
        <v>550</v>
      </c>
    </row>
    <row r="461" spans="1:9" x14ac:dyDescent="0.25">
      <c r="A461" s="1" t="s">
        <v>611</v>
      </c>
      <c r="B461" s="1" t="s">
        <v>733</v>
      </c>
      <c r="C461" s="1" t="s">
        <v>632</v>
      </c>
      <c r="D461" s="1" t="s">
        <v>74</v>
      </c>
      <c r="E461" s="1" t="s">
        <v>836</v>
      </c>
      <c r="F461" s="1" t="s">
        <v>837</v>
      </c>
      <c r="G461" s="1" t="s">
        <v>551</v>
      </c>
      <c r="H461" s="1" t="s">
        <v>550</v>
      </c>
    </row>
    <row r="462" spans="1:9" x14ac:dyDescent="0.25">
      <c r="A462" s="1" t="s">
        <v>611</v>
      </c>
      <c r="B462" s="1" t="s">
        <v>733</v>
      </c>
      <c r="C462" s="1" t="s">
        <v>632</v>
      </c>
      <c r="D462" s="1" t="s">
        <v>74</v>
      </c>
      <c r="E462" s="1" t="s">
        <v>848</v>
      </c>
      <c r="F462" s="1" t="s">
        <v>849</v>
      </c>
      <c r="G462" s="1" t="s">
        <v>551</v>
      </c>
      <c r="H462" s="1" t="s">
        <v>550</v>
      </c>
    </row>
    <row r="463" spans="1:9" x14ac:dyDescent="0.25">
      <c r="A463" s="1" t="s">
        <v>611</v>
      </c>
      <c r="B463" s="1" t="s">
        <v>733</v>
      </c>
      <c r="C463" s="1" t="s">
        <v>632</v>
      </c>
      <c r="D463" s="1" t="s">
        <v>74</v>
      </c>
      <c r="E463" s="1" t="s">
        <v>850</v>
      </c>
      <c r="F463" s="1" t="s">
        <v>851</v>
      </c>
      <c r="G463" s="1" t="s">
        <v>551</v>
      </c>
      <c r="H463" s="1" t="s">
        <v>550</v>
      </c>
    </row>
    <row r="464" spans="1:9" x14ac:dyDescent="0.25">
      <c r="A464" s="1" t="s">
        <v>611</v>
      </c>
      <c r="B464" s="1" t="s">
        <v>733</v>
      </c>
      <c r="C464" s="1" t="s">
        <v>632</v>
      </c>
      <c r="D464" s="1" t="s">
        <v>74</v>
      </c>
      <c r="E464" s="1" t="s">
        <v>842</v>
      </c>
      <c r="F464" s="1" t="s">
        <v>843</v>
      </c>
      <c r="G464" s="1" t="s">
        <v>551</v>
      </c>
      <c r="H464" s="1" t="s">
        <v>550</v>
      </c>
    </row>
    <row r="465" spans="1:9" x14ac:dyDescent="0.25">
      <c r="A465" s="1" t="s">
        <v>611</v>
      </c>
      <c r="B465" s="1" t="s">
        <v>733</v>
      </c>
      <c r="C465" s="1" t="s">
        <v>632</v>
      </c>
      <c r="D465" s="1" t="s">
        <v>1099</v>
      </c>
      <c r="E465" s="1" t="s">
        <v>861</v>
      </c>
      <c r="F465" s="1" t="s">
        <v>613</v>
      </c>
      <c r="G465" s="1" t="s">
        <v>550</v>
      </c>
      <c r="H465" s="1" t="s">
        <v>551</v>
      </c>
      <c r="I465" s="11">
        <v>1E-4</v>
      </c>
    </row>
    <row r="466" spans="1:9" x14ac:dyDescent="0.25">
      <c r="A466" s="1" t="s">
        <v>611</v>
      </c>
      <c r="B466" s="1" t="s">
        <v>733</v>
      </c>
      <c r="C466" s="1" t="s">
        <v>632</v>
      </c>
      <c r="D466" s="1" t="s">
        <v>1099</v>
      </c>
      <c r="E466" s="1" t="s">
        <v>858</v>
      </c>
      <c r="F466" s="1" t="s">
        <v>612</v>
      </c>
      <c r="G466" s="1" t="s">
        <v>550</v>
      </c>
      <c r="H466" s="1" t="s">
        <v>551</v>
      </c>
      <c r="I466" s="11">
        <v>8.0000000000000004E-4</v>
      </c>
    </row>
    <row r="467" spans="1:9" x14ac:dyDescent="0.25">
      <c r="A467" s="1" t="s">
        <v>611</v>
      </c>
      <c r="B467" s="1" t="s">
        <v>733</v>
      </c>
      <c r="C467" s="1" t="s">
        <v>632</v>
      </c>
      <c r="D467" s="1" t="s">
        <v>1099</v>
      </c>
      <c r="E467" s="1" t="s">
        <v>864</v>
      </c>
      <c r="F467" s="1" t="s">
        <v>865</v>
      </c>
      <c r="G467" s="1" t="s">
        <v>550</v>
      </c>
      <c r="H467" s="1" t="s">
        <v>551</v>
      </c>
      <c r="I467" s="11">
        <v>0.99960000000000004</v>
      </c>
    </row>
    <row r="468" spans="1:9" x14ac:dyDescent="0.25">
      <c r="A468" s="1" t="s">
        <v>634</v>
      </c>
      <c r="B468" s="1" t="s">
        <v>635</v>
      </c>
      <c r="C468" s="1" t="s">
        <v>636</v>
      </c>
      <c r="D468" s="1" t="s">
        <v>74</v>
      </c>
      <c r="E468" s="1" t="s">
        <v>880</v>
      </c>
      <c r="F468" s="1" t="s">
        <v>881</v>
      </c>
      <c r="G468" s="1" t="s">
        <v>551</v>
      </c>
      <c r="H468" s="1" t="s">
        <v>551</v>
      </c>
      <c r="I468" s="11">
        <v>0</v>
      </c>
    </row>
    <row r="469" spans="1:9" x14ac:dyDescent="0.25">
      <c r="A469" s="1" t="s">
        <v>634</v>
      </c>
      <c r="B469" s="1" t="s">
        <v>635</v>
      </c>
      <c r="C469" s="1" t="s">
        <v>636</v>
      </c>
      <c r="D469" s="1" t="s">
        <v>74</v>
      </c>
      <c r="E469" s="1" t="s">
        <v>882</v>
      </c>
      <c r="F469" s="1" t="s">
        <v>883</v>
      </c>
      <c r="G469" s="1" t="s">
        <v>551</v>
      </c>
      <c r="H469" s="1" t="s">
        <v>551</v>
      </c>
      <c r="I469" s="11">
        <v>0.5</v>
      </c>
    </row>
    <row r="470" spans="1:9" x14ac:dyDescent="0.25">
      <c r="A470" s="1" t="s">
        <v>634</v>
      </c>
      <c r="B470" s="1" t="s">
        <v>635</v>
      </c>
      <c r="C470" s="1" t="s">
        <v>636</v>
      </c>
      <c r="D470" s="1" t="s">
        <v>74</v>
      </c>
      <c r="E470" s="1" t="s">
        <v>884</v>
      </c>
      <c r="F470" s="1" t="s">
        <v>885</v>
      </c>
      <c r="G470" s="1" t="s">
        <v>551</v>
      </c>
      <c r="H470" s="1" t="s">
        <v>551</v>
      </c>
      <c r="I470" s="11">
        <v>0.5</v>
      </c>
    </row>
    <row r="471" spans="1:9" x14ac:dyDescent="0.25">
      <c r="A471" s="1" t="s">
        <v>637</v>
      </c>
      <c r="B471" s="1" t="s">
        <v>638</v>
      </c>
      <c r="C471" s="1" t="s">
        <v>649</v>
      </c>
      <c r="D471" s="1" t="s">
        <v>74</v>
      </c>
      <c r="E471" s="1" t="s">
        <v>886</v>
      </c>
      <c r="F471" s="1" t="s">
        <v>887</v>
      </c>
      <c r="G471" s="1" t="s">
        <v>551</v>
      </c>
      <c r="H471" s="1" t="s">
        <v>550</v>
      </c>
    </row>
    <row r="472" spans="1:9" x14ac:dyDescent="0.25">
      <c r="A472" s="1" t="s">
        <v>637</v>
      </c>
      <c r="B472" s="1" t="s">
        <v>638</v>
      </c>
      <c r="C472" s="1" t="s">
        <v>649</v>
      </c>
      <c r="D472" s="1" t="s">
        <v>74</v>
      </c>
      <c r="E472" s="1" t="s">
        <v>888</v>
      </c>
      <c r="F472" s="1" t="s">
        <v>889</v>
      </c>
      <c r="G472" s="1" t="s">
        <v>551</v>
      </c>
      <c r="H472" s="1" t="s">
        <v>551</v>
      </c>
      <c r="I472" s="11">
        <v>0.01</v>
      </c>
    </row>
    <row r="473" spans="1:9" x14ac:dyDescent="0.25">
      <c r="A473" s="1" t="s">
        <v>637</v>
      </c>
      <c r="B473" s="1" t="s">
        <v>638</v>
      </c>
      <c r="C473" s="1" t="s">
        <v>649</v>
      </c>
      <c r="D473" s="1" t="s">
        <v>1099</v>
      </c>
      <c r="E473" s="1" t="s">
        <v>890</v>
      </c>
      <c r="F473" s="1" t="s">
        <v>657</v>
      </c>
      <c r="G473" s="1" t="s">
        <v>550</v>
      </c>
      <c r="H473" s="1" t="s">
        <v>551</v>
      </c>
      <c r="I473" s="11">
        <v>0.99</v>
      </c>
    </row>
    <row r="474" spans="1:9" x14ac:dyDescent="0.25">
      <c r="A474" s="1" t="s">
        <v>637</v>
      </c>
      <c r="B474" s="1" t="s">
        <v>639</v>
      </c>
      <c r="C474" s="1" t="s">
        <v>650</v>
      </c>
      <c r="D474" s="1" t="s">
        <v>74</v>
      </c>
      <c r="E474" s="1" t="s">
        <v>891</v>
      </c>
      <c r="F474" s="1" t="s">
        <v>892</v>
      </c>
      <c r="G474" s="1" t="s">
        <v>551</v>
      </c>
      <c r="H474" s="1" t="s">
        <v>550</v>
      </c>
    </row>
    <row r="475" spans="1:9" x14ac:dyDescent="0.25">
      <c r="A475" s="1" t="s">
        <v>637</v>
      </c>
      <c r="B475" s="1" t="s">
        <v>639</v>
      </c>
      <c r="C475" s="1" t="s">
        <v>650</v>
      </c>
      <c r="D475" s="1" t="s">
        <v>74</v>
      </c>
      <c r="E475" s="1" t="s">
        <v>893</v>
      </c>
      <c r="F475" s="1" t="s">
        <v>894</v>
      </c>
      <c r="G475" s="1" t="s">
        <v>551</v>
      </c>
      <c r="H475" s="1" t="s">
        <v>550</v>
      </c>
    </row>
    <row r="476" spans="1:9" x14ac:dyDescent="0.25">
      <c r="A476" s="1" t="s">
        <v>637</v>
      </c>
      <c r="B476" s="1" t="s">
        <v>639</v>
      </c>
      <c r="C476" s="1" t="s">
        <v>650</v>
      </c>
      <c r="D476" s="1" t="s">
        <v>74</v>
      </c>
      <c r="E476" s="1" t="s">
        <v>895</v>
      </c>
      <c r="F476" s="1" t="s">
        <v>896</v>
      </c>
      <c r="G476" s="1" t="s">
        <v>551</v>
      </c>
      <c r="H476" s="1" t="s">
        <v>550</v>
      </c>
    </row>
    <row r="477" spans="1:9" x14ac:dyDescent="0.25">
      <c r="A477" s="1" t="s">
        <v>637</v>
      </c>
      <c r="B477" s="1" t="s">
        <v>639</v>
      </c>
      <c r="C477" s="1" t="s">
        <v>650</v>
      </c>
      <c r="D477" s="1" t="s">
        <v>1099</v>
      </c>
      <c r="E477" s="1" t="s">
        <v>890</v>
      </c>
      <c r="F477" s="1" t="s">
        <v>657</v>
      </c>
      <c r="G477" s="1" t="s">
        <v>550</v>
      </c>
      <c r="H477" s="1" t="s">
        <v>551</v>
      </c>
      <c r="I477" s="11">
        <v>0.99990000000000001</v>
      </c>
    </row>
    <row r="478" spans="1:9" x14ac:dyDescent="0.25">
      <c r="A478" s="1" t="s">
        <v>637</v>
      </c>
      <c r="B478" s="1" t="s">
        <v>639</v>
      </c>
      <c r="C478" s="1" t="s">
        <v>650</v>
      </c>
      <c r="D478" s="1" t="s">
        <v>1099</v>
      </c>
      <c r="E478" s="1" t="s">
        <v>897</v>
      </c>
      <c r="F478" s="1" t="s">
        <v>649</v>
      </c>
      <c r="G478" s="1" t="s">
        <v>550</v>
      </c>
      <c r="H478" s="1" t="s">
        <v>551</v>
      </c>
      <c r="I478" s="11">
        <v>1E-4</v>
      </c>
    </row>
    <row r="479" spans="1:9" x14ac:dyDescent="0.25">
      <c r="A479" s="1" t="s">
        <v>637</v>
      </c>
      <c r="B479" s="1" t="s">
        <v>640</v>
      </c>
      <c r="C479" s="1" t="s">
        <v>651</v>
      </c>
      <c r="D479" s="1" t="s">
        <v>74</v>
      </c>
      <c r="E479" s="1" t="s">
        <v>886</v>
      </c>
      <c r="F479" s="1" t="s">
        <v>887</v>
      </c>
      <c r="G479" s="1" t="s">
        <v>551</v>
      </c>
      <c r="H479" s="1" t="s">
        <v>550</v>
      </c>
    </row>
    <row r="480" spans="1:9" x14ac:dyDescent="0.25">
      <c r="A480" s="1" t="s">
        <v>637</v>
      </c>
      <c r="B480" s="1" t="s">
        <v>640</v>
      </c>
      <c r="C480" s="1" t="s">
        <v>651</v>
      </c>
      <c r="D480" s="1" t="s">
        <v>74</v>
      </c>
      <c r="E480" s="1" t="s">
        <v>893</v>
      </c>
      <c r="F480" s="1" t="s">
        <v>894</v>
      </c>
      <c r="G480" s="1" t="s">
        <v>551</v>
      </c>
      <c r="H480" s="1" t="s">
        <v>550</v>
      </c>
    </row>
    <row r="481" spans="1:9" x14ac:dyDescent="0.25">
      <c r="A481" s="1" t="s">
        <v>637</v>
      </c>
      <c r="B481" s="1" t="s">
        <v>640</v>
      </c>
      <c r="C481" s="1" t="s">
        <v>651</v>
      </c>
      <c r="D481" s="1" t="s">
        <v>74</v>
      </c>
      <c r="E481" s="1" t="s">
        <v>895</v>
      </c>
      <c r="F481" s="1" t="s">
        <v>896</v>
      </c>
      <c r="G481" s="1" t="s">
        <v>551</v>
      </c>
      <c r="H481" s="1" t="s">
        <v>550</v>
      </c>
    </row>
    <row r="482" spans="1:9" x14ac:dyDescent="0.25">
      <c r="A482" s="1" t="s">
        <v>637</v>
      </c>
      <c r="B482" s="1" t="s">
        <v>640</v>
      </c>
      <c r="C482" s="1" t="s">
        <v>651</v>
      </c>
      <c r="D482" s="1" t="s">
        <v>1099</v>
      </c>
      <c r="E482" s="1" t="s">
        <v>890</v>
      </c>
      <c r="F482" s="1" t="s">
        <v>657</v>
      </c>
      <c r="G482" s="1" t="s">
        <v>550</v>
      </c>
      <c r="H482" s="1" t="s">
        <v>551</v>
      </c>
      <c r="I482" s="11">
        <v>0.99990000000000001</v>
      </c>
    </row>
    <row r="483" spans="1:9" x14ac:dyDescent="0.25">
      <c r="A483" s="1" t="s">
        <v>637</v>
      </c>
      <c r="B483" s="1" t="s">
        <v>640</v>
      </c>
      <c r="C483" s="1" t="s">
        <v>651</v>
      </c>
      <c r="D483" s="1" t="s">
        <v>1099</v>
      </c>
      <c r="E483" s="1" t="s">
        <v>897</v>
      </c>
      <c r="F483" s="1" t="s">
        <v>649</v>
      </c>
      <c r="G483" s="1" t="s">
        <v>550</v>
      </c>
      <c r="H483" s="1" t="s">
        <v>551</v>
      </c>
      <c r="I483" s="11">
        <v>1E-4</v>
      </c>
    </row>
    <row r="484" spans="1:9" x14ac:dyDescent="0.25">
      <c r="A484" s="1" t="s">
        <v>637</v>
      </c>
      <c r="B484" s="1" t="s">
        <v>641</v>
      </c>
      <c r="C484" s="1" t="s">
        <v>652</v>
      </c>
      <c r="D484" s="1" t="s">
        <v>74</v>
      </c>
      <c r="E484" s="1" t="s">
        <v>898</v>
      </c>
      <c r="F484" s="1" t="s">
        <v>899</v>
      </c>
      <c r="G484" s="1" t="s">
        <v>551</v>
      </c>
      <c r="H484" s="1" t="s">
        <v>550</v>
      </c>
    </row>
    <row r="485" spans="1:9" x14ac:dyDescent="0.25">
      <c r="A485" s="1" t="s">
        <v>637</v>
      </c>
      <c r="B485" s="1" t="s">
        <v>641</v>
      </c>
      <c r="C485" s="1" t="s">
        <v>652</v>
      </c>
      <c r="D485" s="1" t="s">
        <v>74</v>
      </c>
      <c r="E485" s="1" t="s">
        <v>900</v>
      </c>
      <c r="F485" s="1" t="s">
        <v>901</v>
      </c>
      <c r="G485" s="1" t="s">
        <v>551</v>
      </c>
      <c r="H485" s="1" t="s">
        <v>550</v>
      </c>
    </row>
    <row r="486" spans="1:9" x14ac:dyDescent="0.25">
      <c r="A486" s="1" t="s">
        <v>637</v>
      </c>
      <c r="B486" s="1" t="s">
        <v>641</v>
      </c>
      <c r="C486" s="1" t="s">
        <v>652</v>
      </c>
      <c r="D486" s="1" t="s">
        <v>1099</v>
      </c>
      <c r="E486" s="1" t="s">
        <v>902</v>
      </c>
      <c r="F486" s="1" t="s">
        <v>903</v>
      </c>
      <c r="G486" s="1" t="s">
        <v>550</v>
      </c>
      <c r="H486" s="1" t="s">
        <v>551</v>
      </c>
      <c r="I486" s="11">
        <v>1</v>
      </c>
    </row>
    <row r="487" spans="1:9" x14ac:dyDescent="0.25">
      <c r="A487" s="1" t="s">
        <v>637</v>
      </c>
      <c r="B487" s="1" t="s">
        <v>642</v>
      </c>
      <c r="C487" s="1" t="s">
        <v>653</v>
      </c>
      <c r="D487" s="1" t="s">
        <v>74</v>
      </c>
      <c r="E487" s="1" t="s">
        <v>886</v>
      </c>
      <c r="F487" s="1" t="s">
        <v>887</v>
      </c>
      <c r="G487" s="1" t="s">
        <v>551</v>
      </c>
      <c r="H487" s="1" t="s">
        <v>550</v>
      </c>
    </row>
    <row r="488" spans="1:9" x14ac:dyDescent="0.25">
      <c r="A488" s="1" t="s">
        <v>637</v>
      </c>
      <c r="B488" s="1" t="s">
        <v>642</v>
      </c>
      <c r="C488" s="1" t="s">
        <v>653</v>
      </c>
      <c r="D488" s="1" t="s">
        <v>74</v>
      </c>
      <c r="E488" s="1" t="s">
        <v>893</v>
      </c>
      <c r="F488" s="1" t="s">
        <v>894</v>
      </c>
      <c r="G488" s="1" t="s">
        <v>551</v>
      </c>
      <c r="H488" s="1" t="s">
        <v>550</v>
      </c>
    </row>
    <row r="489" spans="1:9" x14ac:dyDescent="0.25">
      <c r="A489" s="1" t="s">
        <v>637</v>
      </c>
      <c r="B489" s="1" t="s">
        <v>642</v>
      </c>
      <c r="C489" s="1" t="s">
        <v>653</v>
      </c>
      <c r="D489" s="1" t="s">
        <v>74</v>
      </c>
      <c r="E489" s="1" t="s">
        <v>895</v>
      </c>
      <c r="F489" s="1" t="s">
        <v>896</v>
      </c>
      <c r="G489" s="1" t="s">
        <v>551</v>
      </c>
      <c r="H489" s="1" t="s">
        <v>550</v>
      </c>
    </row>
    <row r="490" spans="1:9" x14ac:dyDescent="0.25">
      <c r="A490" s="1" t="s">
        <v>637</v>
      </c>
      <c r="B490" s="1" t="s">
        <v>642</v>
      </c>
      <c r="C490" s="1" t="s">
        <v>653</v>
      </c>
      <c r="D490" s="1" t="s">
        <v>1099</v>
      </c>
      <c r="E490" s="1" t="s">
        <v>890</v>
      </c>
      <c r="F490" s="1" t="s">
        <v>657</v>
      </c>
      <c r="G490" s="1" t="s">
        <v>550</v>
      </c>
      <c r="H490" s="1" t="s">
        <v>551</v>
      </c>
      <c r="I490" s="11">
        <v>0.99</v>
      </c>
    </row>
    <row r="491" spans="1:9" x14ac:dyDescent="0.25">
      <c r="A491" s="1" t="s">
        <v>637</v>
      </c>
      <c r="B491" s="1" t="s">
        <v>642</v>
      </c>
      <c r="C491" s="1" t="s">
        <v>653</v>
      </c>
      <c r="D491" s="1" t="s">
        <v>1099</v>
      </c>
      <c r="E491" s="1" t="s">
        <v>897</v>
      </c>
      <c r="F491" s="1" t="s">
        <v>649</v>
      </c>
      <c r="G491" s="1" t="s">
        <v>550</v>
      </c>
      <c r="H491" s="1" t="s">
        <v>551</v>
      </c>
      <c r="I491" s="11">
        <v>0.01</v>
      </c>
    </row>
    <row r="492" spans="1:9" x14ac:dyDescent="0.25">
      <c r="A492" s="1" t="s">
        <v>637</v>
      </c>
      <c r="B492" s="1" t="s">
        <v>643</v>
      </c>
      <c r="C492" s="1" t="s">
        <v>654</v>
      </c>
      <c r="D492" s="1" t="s">
        <v>74</v>
      </c>
      <c r="E492" s="1" t="s">
        <v>886</v>
      </c>
      <c r="F492" s="1" t="s">
        <v>887</v>
      </c>
      <c r="G492" s="1" t="s">
        <v>551</v>
      </c>
      <c r="H492" s="1" t="s">
        <v>550</v>
      </c>
    </row>
    <row r="493" spans="1:9" x14ac:dyDescent="0.25">
      <c r="A493" s="1" t="s">
        <v>637</v>
      </c>
      <c r="B493" s="1" t="s">
        <v>643</v>
      </c>
      <c r="C493" s="1" t="s">
        <v>654</v>
      </c>
      <c r="D493" s="1" t="s">
        <v>1099</v>
      </c>
      <c r="E493" s="1" t="s">
        <v>890</v>
      </c>
      <c r="F493" s="1" t="s">
        <v>657</v>
      </c>
      <c r="G493" s="1" t="s">
        <v>550</v>
      </c>
      <c r="H493" s="1" t="s">
        <v>551</v>
      </c>
      <c r="I493" s="11">
        <v>0.6</v>
      </c>
    </row>
    <row r="494" spans="1:9" x14ac:dyDescent="0.25">
      <c r="A494" s="1" t="s">
        <v>637</v>
      </c>
      <c r="B494" s="1" t="s">
        <v>643</v>
      </c>
      <c r="C494" s="1" t="s">
        <v>654</v>
      </c>
      <c r="D494" s="1" t="s">
        <v>1099</v>
      </c>
      <c r="E494" s="1" t="s">
        <v>904</v>
      </c>
      <c r="F494" s="1" t="s">
        <v>905</v>
      </c>
      <c r="G494" s="1" t="s">
        <v>550</v>
      </c>
      <c r="H494" s="1" t="s">
        <v>551</v>
      </c>
      <c r="I494" s="11">
        <v>0.4</v>
      </c>
    </row>
    <row r="495" spans="1:9" x14ac:dyDescent="0.25">
      <c r="A495" s="1" t="s">
        <v>637</v>
      </c>
      <c r="B495" s="1" t="s">
        <v>644</v>
      </c>
      <c r="C495" s="1" t="s">
        <v>655</v>
      </c>
      <c r="D495" s="1" t="s">
        <v>74</v>
      </c>
      <c r="E495" s="1" t="s">
        <v>898</v>
      </c>
      <c r="F495" s="1" t="s">
        <v>899</v>
      </c>
      <c r="G495" s="1" t="s">
        <v>551</v>
      </c>
      <c r="H495" s="1" t="s">
        <v>550</v>
      </c>
    </row>
    <row r="496" spans="1:9" x14ac:dyDescent="0.25">
      <c r="A496" s="1" t="s">
        <v>637</v>
      </c>
      <c r="B496" s="1" t="s">
        <v>644</v>
      </c>
      <c r="C496" s="1" t="s">
        <v>655</v>
      </c>
      <c r="D496" s="1" t="s">
        <v>74</v>
      </c>
      <c r="E496" s="1" t="s">
        <v>900</v>
      </c>
      <c r="F496" s="1" t="s">
        <v>901</v>
      </c>
      <c r="G496" s="1" t="s">
        <v>551</v>
      </c>
      <c r="H496" s="1" t="s">
        <v>550</v>
      </c>
    </row>
    <row r="497" spans="1:9" x14ac:dyDescent="0.25">
      <c r="A497" s="1" t="s">
        <v>637</v>
      </c>
      <c r="B497" s="1" t="s">
        <v>644</v>
      </c>
      <c r="C497" s="1" t="s">
        <v>655</v>
      </c>
      <c r="D497" s="1" t="s">
        <v>1099</v>
      </c>
      <c r="E497" s="1" t="s">
        <v>902</v>
      </c>
      <c r="F497" s="1" t="s">
        <v>903</v>
      </c>
      <c r="G497" s="1" t="s">
        <v>550</v>
      </c>
      <c r="H497" s="1" t="s">
        <v>551</v>
      </c>
      <c r="I497" s="11">
        <v>1</v>
      </c>
    </row>
    <row r="498" spans="1:9" x14ac:dyDescent="0.25">
      <c r="A498" s="1" t="s">
        <v>637</v>
      </c>
      <c r="B498" s="1" t="s">
        <v>645</v>
      </c>
      <c r="C498" s="1" t="s">
        <v>656</v>
      </c>
      <c r="D498" s="1" t="s">
        <v>74</v>
      </c>
      <c r="E498" s="1" t="s">
        <v>886</v>
      </c>
      <c r="F498" s="1" t="s">
        <v>887</v>
      </c>
      <c r="G498" s="1" t="s">
        <v>551</v>
      </c>
      <c r="H498" s="1" t="s">
        <v>550</v>
      </c>
    </row>
    <row r="499" spans="1:9" x14ac:dyDescent="0.25">
      <c r="A499" s="1" t="s">
        <v>637</v>
      </c>
      <c r="B499" s="1" t="s">
        <v>645</v>
      </c>
      <c r="C499" s="1" t="s">
        <v>656</v>
      </c>
      <c r="D499" s="1" t="s">
        <v>74</v>
      </c>
      <c r="E499" s="1" t="s">
        <v>893</v>
      </c>
      <c r="F499" s="1" t="s">
        <v>894</v>
      </c>
      <c r="G499" s="1" t="s">
        <v>551</v>
      </c>
      <c r="H499" s="1" t="s">
        <v>550</v>
      </c>
    </row>
    <row r="500" spans="1:9" x14ac:dyDescent="0.25">
      <c r="A500" s="1" t="s">
        <v>637</v>
      </c>
      <c r="B500" s="1" t="s">
        <v>645</v>
      </c>
      <c r="C500" s="1" t="s">
        <v>656</v>
      </c>
      <c r="D500" s="1" t="s">
        <v>74</v>
      </c>
      <c r="E500" s="1" t="s">
        <v>895</v>
      </c>
      <c r="F500" s="1" t="s">
        <v>896</v>
      </c>
      <c r="G500" s="1" t="s">
        <v>551</v>
      </c>
      <c r="H500" s="1" t="s">
        <v>550</v>
      </c>
    </row>
    <row r="501" spans="1:9" x14ac:dyDescent="0.25">
      <c r="A501" s="1" t="s">
        <v>637</v>
      </c>
      <c r="B501" s="1" t="s">
        <v>645</v>
      </c>
      <c r="C501" s="1" t="s">
        <v>656</v>
      </c>
      <c r="D501" s="1" t="s">
        <v>1099</v>
      </c>
      <c r="E501" s="1" t="s">
        <v>890</v>
      </c>
      <c r="F501" s="1" t="s">
        <v>657</v>
      </c>
      <c r="G501" s="1" t="s">
        <v>550</v>
      </c>
      <c r="H501" s="1" t="s">
        <v>551</v>
      </c>
      <c r="I501" s="11">
        <v>0.01</v>
      </c>
    </row>
    <row r="502" spans="1:9" x14ac:dyDescent="0.25">
      <c r="A502" s="1" t="s">
        <v>637</v>
      </c>
      <c r="B502" s="1" t="s">
        <v>645</v>
      </c>
      <c r="C502" s="1" t="s">
        <v>656</v>
      </c>
      <c r="D502" s="1" t="s">
        <v>1099</v>
      </c>
      <c r="E502" s="1" t="s">
        <v>897</v>
      </c>
      <c r="F502" s="1" t="s">
        <v>649</v>
      </c>
      <c r="G502" s="1" t="s">
        <v>550</v>
      </c>
      <c r="H502" s="1" t="s">
        <v>551</v>
      </c>
      <c r="I502" s="11">
        <v>0.99</v>
      </c>
    </row>
    <row r="503" spans="1:9" x14ac:dyDescent="0.25">
      <c r="A503" s="1" t="s">
        <v>637</v>
      </c>
      <c r="B503" s="1" t="s">
        <v>646</v>
      </c>
      <c r="C503" s="1" t="s">
        <v>657</v>
      </c>
      <c r="D503" s="1" t="s">
        <v>74</v>
      </c>
      <c r="E503" s="1" t="s">
        <v>886</v>
      </c>
      <c r="F503" s="1" t="s">
        <v>887</v>
      </c>
      <c r="G503" s="1" t="s">
        <v>551</v>
      </c>
      <c r="H503" s="1" t="s">
        <v>550</v>
      </c>
    </row>
    <row r="504" spans="1:9" x14ac:dyDescent="0.25">
      <c r="A504" s="1" t="s">
        <v>637</v>
      </c>
      <c r="B504" s="1" t="s">
        <v>646</v>
      </c>
      <c r="C504" s="1" t="s">
        <v>657</v>
      </c>
      <c r="D504" s="1" t="s">
        <v>74</v>
      </c>
      <c r="E504" s="1" t="s">
        <v>895</v>
      </c>
      <c r="F504" s="1" t="s">
        <v>896</v>
      </c>
      <c r="G504" s="1" t="s">
        <v>551</v>
      </c>
      <c r="H504" s="1" t="s">
        <v>550</v>
      </c>
    </row>
    <row r="505" spans="1:9" x14ac:dyDescent="0.25">
      <c r="A505" s="1" t="s">
        <v>637</v>
      </c>
      <c r="B505" s="1" t="s">
        <v>646</v>
      </c>
      <c r="C505" s="1" t="s">
        <v>657</v>
      </c>
      <c r="D505" s="1" t="s">
        <v>1099</v>
      </c>
      <c r="E505" s="1" t="s">
        <v>906</v>
      </c>
      <c r="F505" s="1" t="s">
        <v>907</v>
      </c>
      <c r="G505" s="1" t="s">
        <v>550</v>
      </c>
      <c r="H505" s="1" t="s">
        <v>551</v>
      </c>
      <c r="I505" s="11">
        <v>0</v>
      </c>
    </row>
    <row r="506" spans="1:9" x14ac:dyDescent="0.25">
      <c r="A506" s="1" t="s">
        <v>637</v>
      </c>
      <c r="B506" s="1" t="s">
        <v>646</v>
      </c>
      <c r="C506" s="1" t="s">
        <v>657</v>
      </c>
      <c r="D506" s="1" t="s">
        <v>1099</v>
      </c>
      <c r="E506" s="1" t="s">
        <v>908</v>
      </c>
      <c r="F506" s="1" t="s">
        <v>909</v>
      </c>
      <c r="G506" s="1" t="s">
        <v>550</v>
      </c>
      <c r="H506" s="1" t="s">
        <v>551</v>
      </c>
      <c r="I506" s="11">
        <v>1</v>
      </c>
    </row>
    <row r="507" spans="1:9" x14ac:dyDescent="0.25">
      <c r="A507" s="1" t="s">
        <v>637</v>
      </c>
      <c r="B507" s="1" t="s">
        <v>647</v>
      </c>
      <c r="C507" s="1" t="s">
        <v>658</v>
      </c>
      <c r="D507" s="1" t="s">
        <v>74</v>
      </c>
      <c r="E507" s="1" t="s">
        <v>895</v>
      </c>
      <c r="F507" s="1" t="s">
        <v>896</v>
      </c>
      <c r="G507" s="1" t="s">
        <v>551</v>
      </c>
      <c r="H507" s="1" t="s">
        <v>550</v>
      </c>
    </row>
    <row r="508" spans="1:9" x14ac:dyDescent="0.25">
      <c r="A508" s="1" t="s">
        <v>637</v>
      </c>
      <c r="B508" s="1" t="s">
        <v>647</v>
      </c>
      <c r="C508" s="1" t="s">
        <v>658</v>
      </c>
      <c r="D508" s="1" t="s">
        <v>1099</v>
      </c>
      <c r="E508" s="1" t="s">
        <v>890</v>
      </c>
      <c r="F508" s="1" t="s">
        <v>657</v>
      </c>
      <c r="G508" s="1" t="s">
        <v>550</v>
      </c>
      <c r="H508" s="1" t="s">
        <v>551</v>
      </c>
      <c r="I508" s="11">
        <v>0.3</v>
      </c>
    </row>
    <row r="509" spans="1:9" x14ac:dyDescent="0.25">
      <c r="A509" s="1" t="s">
        <v>637</v>
      </c>
      <c r="B509" s="1" t="s">
        <v>647</v>
      </c>
      <c r="C509" s="1" t="s">
        <v>658</v>
      </c>
      <c r="D509" s="1" t="s">
        <v>1099</v>
      </c>
      <c r="E509" s="1" t="s">
        <v>648</v>
      </c>
      <c r="F509" s="1" t="s">
        <v>659</v>
      </c>
      <c r="G509" s="1" t="s">
        <v>550</v>
      </c>
      <c r="H509" s="1" t="s">
        <v>551</v>
      </c>
      <c r="I509" s="11">
        <v>0.5</v>
      </c>
    </row>
    <row r="510" spans="1:9" x14ac:dyDescent="0.25">
      <c r="A510" s="1" t="s">
        <v>637</v>
      </c>
      <c r="B510" s="1" t="s">
        <v>647</v>
      </c>
      <c r="C510" s="1" t="s">
        <v>658</v>
      </c>
      <c r="D510" s="1" t="s">
        <v>1099</v>
      </c>
      <c r="E510" s="1" t="s">
        <v>904</v>
      </c>
      <c r="F510" s="1" t="s">
        <v>905</v>
      </c>
      <c r="G510" s="1" t="s">
        <v>550</v>
      </c>
      <c r="H510" s="1" t="s">
        <v>551</v>
      </c>
      <c r="I510" s="11">
        <v>0.2</v>
      </c>
    </row>
    <row r="511" spans="1:9" x14ac:dyDescent="0.25">
      <c r="A511" s="1" t="s">
        <v>637</v>
      </c>
      <c r="B511" s="1" t="s">
        <v>648</v>
      </c>
      <c r="C511" s="1" t="s">
        <v>659</v>
      </c>
      <c r="D511" s="1" t="s">
        <v>74</v>
      </c>
      <c r="E511" s="1" t="s">
        <v>898</v>
      </c>
      <c r="F511" s="1" t="s">
        <v>899</v>
      </c>
      <c r="G511" s="1" t="s">
        <v>551</v>
      </c>
      <c r="H511" s="1" t="s">
        <v>550</v>
      </c>
    </row>
    <row r="512" spans="1:9" x14ac:dyDescent="0.25">
      <c r="A512" s="1" t="s">
        <v>637</v>
      </c>
      <c r="B512" s="1" t="s">
        <v>648</v>
      </c>
      <c r="C512" s="1" t="s">
        <v>659</v>
      </c>
      <c r="D512" s="1" t="s">
        <v>74</v>
      </c>
      <c r="E512" s="1" t="s">
        <v>900</v>
      </c>
      <c r="F512" s="1" t="s">
        <v>901</v>
      </c>
      <c r="G512" s="1" t="s">
        <v>551</v>
      </c>
      <c r="H512" s="1" t="s">
        <v>550</v>
      </c>
    </row>
    <row r="513" spans="1:9" x14ac:dyDescent="0.25">
      <c r="A513" s="1" t="s">
        <v>637</v>
      </c>
      <c r="B513" s="1" t="s">
        <v>648</v>
      </c>
      <c r="C513" s="1" t="s">
        <v>659</v>
      </c>
      <c r="D513" s="1" t="s">
        <v>1099</v>
      </c>
      <c r="E513" s="1" t="s">
        <v>902</v>
      </c>
      <c r="F513" s="1" t="s">
        <v>903</v>
      </c>
      <c r="G513" s="1" t="s">
        <v>550</v>
      </c>
      <c r="H513" s="1" t="s">
        <v>551</v>
      </c>
      <c r="I513" s="11">
        <v>1</v>
      </c>
    </row>
    <row r="514" spans="1:9" x14ac:dyDescent="0.25">
      <c r="A514" s="1" t="s">
        <v>660</v>
      </c>
      <c r="B514" s="1" t="s">
        <v>661</v>
      </c>
      <c r="C514" s="1" t="s">
        <v>664</v>
      </c>
      <c r="D514" s="1" t="s">
        <v>74</v>
      </c>
      <c r="E514" s="1" t="s">
        <v>910</v>
      </c>
      <c r="F514" s="1" t="s">
        <v>911</v>
      </c>
      <c r="G514" s="1" t="s">
        <v>551</v>
      </c>
      <c r="H514" s="1" t="s">
        <v>551</v>
      </c>
      <c r="I514" s="11">
        <v>0.99</v>
      </c>
    </row>
    <row r="515" spans="1:9" x14ac:dyDescent="0.25">
      <c r="A515" s="1" t="s">
        <v>660</v>
      </c>
      <c r="B515" s="1" t="s">
        <v>661</v>
      </c>
      <c r="C515" s="1" t="s">
        <v>664</v>
      </c>
      <c r="D515" s="1" t="s">
        <v>74</v>
      </c>
      <c r="E515" s="1" t="s">
        <v>912</v>
      </c>
      <c r="F515" s="1" t="s">
        <v>913</v>
      </c>
      <c r="G515" s="1" t="s">
        <v>551</v>
      </c>
      <c r="H515" s="1" t="s">
        <v>551</v>
      </c>
      <c r="I515" s="11">
        <v>0.01</v>
      </c>
    </row>
    <row r="516" spans="1:9" x14ac:dyDescent="0.25">
      <c r="A516" s="1" t="s">
        <v>660</v>
      </c>
      <c r="B516" s="1" t="s">
        <v>662</v>
      </c>
      <c r="C516" s="1" t="s">
        <v>665</v>
      </c>
      <c r="D516" s="1" t="s">
        <v>74</v>
      </c>
      <c r="E516" s="1" t="s">
        <v>914</v>
      </c>
      <c r="F516" s="1" t="s">
        <v>915</v>
      </c>
      <c r="G516" s="1" t="s">
        <v>551</v>
      </c>
      <c r="H516" s="1" t="s">
        <v>551</v>
      </c>
      <c r="I516" s="11">
        <v>0.5</v>
      </c>
    </row>
    <row r="517" spans="1:9" x14ac:dyDescent="0.25">
      <c r="A517" s="1" t="s">
        <v>660</v>
      </c>
      <c r="B517" s="1" t="s">
        <v>662</v>
      </c>
      <c r="C517" s="1" t="s">
        <v>665</v>
      </c>
      <c r="D517" s="1" t="s">
        <v>74</v>
      </c>
      <c r="E517" s="1" t="s">
        <v>916</v>
      </c>
      <c r="F517" s="1" t="s">
        <v>917</v>
      </c>
      <c r="G517" s="1" t="s">
        <v>551</v>
      </c>
      <c r="H517" s="1" t="s">
        <v>551</v>
      </c>
      <c r="I517" s="11">
        <v>0.5</v>
      </c>
    </row>
    <row r="518" spans="1:9" x14ac:dyDescent="0.25">
      <c r="A518" s="1" t="s">
        <v>660</v>
      </c>
      <c r="B518" s="1" t="s">
        <v>806</v>
      </c>
      <c r="C518" s="1" t="s">
        <v>666</v>
      </c>
      <c r="D518" s="1" t="s">
        <v>74</v>
      </c>
      <c r="E518" s="1" t="s">
        <v>910</v>
      </c>
      <c r="F518" s="1" t="s">
        <v>911</v>
      </c>
      <c r="G518" s="1" t="s">
        <v>551</v>
      </c>
      <c r="H518" s="1" t="s">
        <v>550</v>
      </c>
    </row>
    <row r="519" spans="1:9" x14ac:dyDescent="0.25">
      <c r="A519" s="1" t="s">
        <v>660</v>
      </c>
      <c r="B519" s="1" t="s">
        <v>806</v>
      </c>
      <c r="C519" s="1" t="s">
        <v>666</v>
      </c>
      <c r="D519" s="1" t="s">
        <v>74</v>
      </c>
      <c r="E519" s="1" t="s">
        <v>916</v>
      </c>
      <c r="F519" s="1" t="s">
        <v>917</v>
      </c>
      <c r="G519" s="1" t="s">
        <v>551</v>
      </c>
      <c r="H519" s="1" t="s">
        <v>550</v>
      </c>
    </row>
    <row r="520" spans="1:9" x14ac:dyDescent="0.25">
      <c r="A520" s="1" t="s">
        <v>660</v>
      </c>
      <c r="B520" s="1" t="s">
        <v>806</v>
      </c>
      <c r="C520" s="1" t="s">
        <v>666</v>
      </c>
      <c r="D520" s="1" t="s">
        <v>1099</v>
      </c>
      <c r="E520" s="1" t="s">
        <v>662</v>
      </c>
      <c r="F520" s="1" t="s">
        <v>665</v>
      </c>
      <c r="G520" s="1" t="s">
        <v>550</v>
      </c>
      <c r="H520" s="1" t="s">
        <v>551</v>
      </c>
      <c r="I520" s="11">
        <v>0.5</v>
      </c>
    </row>
    <row r="521" spans="1:9" x14ac:dyDescent="0.25">
      <c r="A521" s="1" t="s">
        <v>660</v>
      </c>
      <c r="B521" s="1" t="s">
        <v>806</v>
      </c>
      <c r="C521" s="1" t="s">
        <v>666</v>
      </c>
      <c r="D521" s="1" t="s">
        <v>1099</v>
      </c>
      <c r="E521" s="1" t="s">
        <v>661</v>
      </c>
      <c r="F521" s="1" t="s">
        <v>664</v>
      </c>
      <c r="G521" s="1" t="s">
        <v>550</v>
      </c>
      <c r="H521" s="1" t="s">
        <v>551</v>
      </c>
      <c r="I521" s="11">
        <v>0.5</v>
      </c>
    </row>
    <row r="522" spans="1:9" x14ac:dyDescent="0.25">
      <c r="A522" s="1" t="s">
        <v>660</v>
      </c>
      <c r="B522" s="1" t="s">
        <v>663</v>
      </c>
      <c r="C522" s="1" t="s">
        <v>667</v>
      </c>
      <c r="D522" s="1" t="s">
        <v>74</v>
      </c>
      <c r="E522" s="1" t="s">
        <v>910</v>
      </c>
      <c r="F522" s="1" t="s">
        <v>911</v>
      </c>
      <c r="G522" s="1" t="s">
        <v>551</v>
      </c>
      <c r="H522" s="1" t="s">
        <v>550</v>
      </c>
    </row>
    <row r="523" spans="1:9" x14ac:dyDescent="0.25">
      <c r="A523" s="1" t="s">
        <v>660</v>
      </c>
      <c r="B523" s="1" t="s">
        <v>663</v>
      </c>
      <c r="C523" s="1" t="s">
        <v>667</v>
      </c>
      <c r="D523" s="1" t="s">
        <v>74</v>
      </c>
      <c r="E523" s="1" t="s">
        <v>918</v>
      </c>
      <c r="F523" s="1" t="s">
        <v>919</v>
      </c>
      <c r="G523" s="1" t="s">
        <v>551</v>
      </c>
      <c r="H523" s="1" t="s">
        <v>550</v>
      </c>
    </row>
    <row r="524" spans="1:9" x14ac:dyDescent="0.25">
      <c r="A524" s="1" t="s">
        <v>660</v>
      </c>
      <c r="B524" s="1" t="s">
        <v>663</v>
      </c>
      <c r="C524" s="1" t="s">
        <v>667</v>
      </c>
      <c r="D524" s="1" t="s">
        <v>1099</v>
      </c>
      <c r="E524" s="1" t="s">
        <v>920</v>
      </c>
      <c r="F524" s="1" t="s">
        <v>921</v>
      </c>
      <c r="G524" s="1" t="s">
        <v>550</v>
      </c>
      <c r="H524" s="1" t="s">
        <v>551</v>
      </c>
      <c r="I524" s="11">
        <v>2.9999999999999997E-4</v>
      </c>
    </row>
    <row r="525" spans="1:9" x14ac:dyDescent="0.25">
      <c r="A525" s="1" t="s">
        <v>660</v>
      </c>
      <c r="B525" s="1" t="s">
        <v>663</v>
      </c>
      <c r="C525" s="1" t="s">
        <v>667</v>
      </c>
      <c r="D525" s="1" t="s">
        <v>1099</v>
      </c>
      <c r="E525" s="1" t="s">
        <v>922</v>
      </c>
      <c r="F525" s="1" t="s">
        <v>923</v>
      </c>
      <c r="G525" s="1" t="s">
        <v>550</v>
      </c>
      <c r="H525" s="1" t="s">
        <v>551</v>
      </c>
      <c r="I525" s="11">
        <v>5.9999999999999995E-4</v>
      </c>
    </row>
    <row r="526" spans="1:9" x14ac:dyDescent="0.25">
      <c r="A526" s="1" t="s">
        <v>660</v>
      </c>
      <c r="B526" s="1" t="s">
        <v>663</v>
      </c>
      <c r="C526" s="1" t="s">
        <v>667</v>
      </c>
      <c r="D526" s="1" t="s">
        <v>1099</v>
      </c>
      <c r="E526" s="1" t="s">
        <v>924</v>
      </c>
      <c r="F526" s="1" t="s">
        <v>925</v>
      </c>
      <c r="G526" s="1" t="s">
        <v>550</v>
      </c>
      <c r="H526" s="1" t="s">
        <v>551</v>
      </c>
      <c r="I526" s="11">
        <v>4.0000000000000001E-3</v>
      </c>
    </row>
    <row r="527" spans="1:9" x14ac:dyDescent="0.25">
      <c r="A527" s="1" t="s">
        <v>660</v>
      </c>
      <c r="B527" s="1" t="s">
        <v>663</v>
      </c>
      <c r="C527" s="1" t="s">
        <v>667</v>
      </c>
      <c r="D527" s="1" t="s">
        <v>1099</v>
      </c>
      <c r="E527" s="1" t="s">
        <v>926</v>
      </c>
      <c r="F527" s="1" t="s">
        <v>927</v>
      </c>
      <c r="G527" s="1" t="s">
        <v>550</v>
      </c>
      <c r="H527" s="1" t="s">
        <v>551</v>
      </c>
      <c r="I527" s="11">
        <v>0.22570000000000001</v>
      </c>
    </row>
    <row r="528" spans="1:9" x14ac:dyDescent="0.25">
      <c r="A528" s="1" t="s">
        <v>660</v>
      </c>
      <c r="B528" s="1" t="s">
        <v>663</v>
      </c>
      <c r="C528" s="1" t="s">
        <v>667</v>
      </c>
      <c r="D528" s="1" t="s">
        <v>1099</v>
      </c>
      <c r="E528" s="1" t="s">
        <v>928</v>
      </c>
      <c r="F528" s="1" t="s">
        <v>929</v>
      </c>
      <c r="G528" s="1" t="s">
        <v>550</v>
      </c>
      <c r="H528" s="1" t="s">
        <v>551</v>
      </c>
      <c r="I528" s="11">
        <v>0.22600000000000001</v>
      </c>
    </row>
    <row r="529" spans="1:9" x14ac:dyDescent="0.25">
      <c r="A529" s="1" t="s">
        <v>660</v>
      </c>
      <c r="B529" s="1" t="s">
        <v>663</v>
      </c>
      <c r="C529" s="1" t="s">
        <v>667</v>
      </c>
      <c r="D529" s="1" t="s">
        <v>1099</v>
      </c>
      <c r="E529" s="1" t="s">
        <v>930</v>
      </c>
      <c r="F529" s="1" t="s">
        <v>931</v>
      </c>
      <c r="G529" s="1" t="s">
        <v>550</v>
      </c>
      <c r="H529" s="1" t="s">
        <v>551</v>
      </c>
      <c r="I529" s="11">
        <v>0.2258</v>
      </c>
    </row>
    <row r="530" spans="1:9" x14ac:dyDescent="0.25">
      <c r="A530" s="1" t="s">
        <v>660</v>
      </c>
      <c r="B530" s="1" t="s">
        <v>663</v>
      </c>
      <c r="C530" s="1" t="s">
        <v>667</v>
      </c>
      <c r="D530" s="1" t="s">
        <v>1099</v>
      </c>
      <c r="E530" s="1" t="s">
        <v>661</v>
      </c>
      <c r="F530" s="1" t="s">
        <v>664</v>
      </c>
      <c r="G530" s="1" t="s">
        <v>550</v>
      </c>
      <c r="H530" s="1" t="s">
        <v>551</v>
      </c>
      <c r="I530" s="11">
        <v>1.1999999999999999E-3</v>
      </c>
    </row>
    <row r="531" spans="1:9" x14ac:dyDescent="0.25">
      <c r="A531" s="1" t="s">
        <v>660</v>
      </c>
      <c r="B531" s="1" t="s">
        <v>663</v>
      </c>
      <c r="C531" s="1" t="s">
        <v>667</v>
      </c>
      <c r="D531" s="1" t="s">
        <v>1099</v>
      </c>
      <c r="E531" s="1" t="s">
        <v>932</v>
      </c>
      <c r="F531" s="1" t="s">
        <v>933</v>
      </c>
      <c r="G531" s="1" t="s">
        <v>550</v>
      </c>
      <c r="H531" s="1" t="s">
        <v>551</v>
      </c>
      <c r="I531" s="11">
        <v>0.31640000000000001</v>
      </c>
    </row>
    <row r="532" spans="1:9" x14ac:dyDescent="0.25">
      <c r="A532" s="1" t="s">
        <v>660</v>
      </c>
      <c r="B532" s="1" t="s">
        <v>815</v>
      </c>
      <c r="C532" s="1" t="s">
        <v>668</v>
      </c>
      <c r="D532" s="1" t="s">
        <v>74</v>
      </c>
      <c r="E532" s="1" t="s">
        <v>910</v>
      </c>
      <c r="F532" s="1" t="s">
        <v>911</v>
      </c>
      <c r="G532" s="1" t="s">
        <v>551</v>
      </c>
      <c r="H532" s="1" t="s">
        <v>550</v>
      </c>
    </row>
    <row r="533" spans="1:9" x14ac:dyDescent="0.25">
      <c r="A533" s="1" t="s">
        <v>660</v>
      </c>
      <c r="B533" s="1" t="s">
        <v>815</v>
      </c>
      <c r="C533" s="1" t="s">
        <v>668</v>
      </c>
      <c r="D533" s="1" t="s">
        <v>74</v>
      </c>
      <c r="E533" s="1" t="s">
        <v>918</v>
      </c>
      <c r="F533" s="1" t="s">
        <v>919</v>
      </c>
      <c r="G533" s="1" t="s">
        <v>551</v>
      </c>
      <c r="H533" s="1" t="s">
        <v>550</v>
      </c>
    </row>
    <row r="534" spans="1:9" x14ac:dyDescent="0.25">
      <c r="A534" s="1" t="s">
        <v>660</v>
      </c>
      <c r="B534" s="1" t="s">
        <v>815</v>
      </c>
      <c r="C534" s="1" t="s">
        <v>668</v>
      </c>
      <c r="D534" s="1" t="s">
        <v>1099</v>
      </c>
      <c r="E534" s="1" t="s">
        <v>934</v>
      </c>
      <c r="F534" s="1" t="s">
        <v>935</v>
      </c>
      <c r="G534" s="1" t="s">
        <v>550</v>
      </c>
      <c r="H534" s="1" t="s">
        <v>551</v>
      </c>
      <c r="I534" s="11">
        <v>1.9E-2</v>
      </c>
    </row>
    <row r="535" spans="1:9" x14ac:dyDescent="0.25">
      <c r="A535" s="1" t="s">
        <v>660</v>
      </c>
      <c r="B535" s="1" t="s">
        <v>815</v>
      </c>
      <c r="C535" s="1" t="s">
        <v>668</v>
      </c>
      <c r="D535" s="1" t="s">
        <v>1099</v>
      </c>
      <c r="E535" s="1" t="s">
        <v>936</v>
      </c>
      <c r="F535" s="1" t="s">
        <v>937</v>
      </c>
      <c r="G535" s="1" t="s">
        <v>550</v>
      </c>
      <c r="H535" s="1" t="s">
        <v>551</v>
      </c>
      <c r="I535" s="11">
        <v>2.3099999999999999E-2</v>
      </c>
    </row>
    <row r="536" spans="1:9" x14ac:dyDescent="0.25">
      <c r="A536" s="1" t="s">
        <v>660</v>
      </c>
      <c r="B536" s="1" t="s">
        <v>815</v>
      </c>
      <c r="C536" s="1" t="s">
        <v>668</v>
      </c>
      <c r="D536" s="1" t="s">
        <v>1099</v>
      </c>
      <c r="E536" s="1" t="s">
        <v>938</v>
      </c>
      <c r="F536" s="1" t="s">
        <v>939</v>
      </c>
      <c r="G536" s="1" t="s">
        <v>550</v>
      </c>
      <c r="H536" s="1" t="s">
        <v>551</v>
      </c>
      <c r="I536" s="11">
        <v>4.8599999999999997E-2</v>
      </c>
    </row>
    <row r="537" spans="1:9" x14ac:dyDescent="0.25">
      <c r="A537" s="1" t="s">
        <v>660</v>
      </c>
      <c r="B537" s="1" t="s">
        <v>815</v>
      </c>
      <c r="C537" s="1" t="s">
        <v>668</v>
      </c>
      <c r="D537" s="1" t="s">
        <v>1099</v>
      </c>
      <c r="E537" s="1" t="s">
        <v>940</v>
      </c>
      <c r="F537" s="1" t="s">
        <v>941</v>
      </c>
      <c r="G537" s="1" t="s">
        <v>550</v>
      </c>
      <c r="H537" s="1" t="s">
        <v>551</v>
      </c>
      <c r="I537" s="11">
        <v>3.85E-2</v>
      </c>
    </row>
    <row r="538" spans="1:9" x14ac:dyDescent="0.25">
      <c r="A538" s="1" t="s">
        <v>660</v>
      </c>
      <c r="B538" s="1" t="s">
        <v>815</v>
      </c>
      <c r="C538" s="1" t="s">
        <v>668</v>
      </c>
      <c r="D538" s="1" t="s">
        <v>1099</v>
      </c>
      <c r="E538" s="1" t="s">
        <v>924</v>
      </c>
      <c r="F538" s="1" t="s">
        <v>925</v>
      </c>
      <c r="G538" s="1" t="s">
        <v>550</v>
      </c>
      <c r="H538" s="1" t="s">
        <v>551</v>
      </c>
      <c r="I538" s="11">
        <v>8.7499999999999994E-2</v>
      </c>
    </row>
    <row r="539" spans="1:9" x14ac:dyDescent="0.25">
      <c r="A539" s="1" t="s">
        <v>660</v>
      </c>
      <c r="B539" s="1" t="s">
        <v>815</v>
      </c>
      <c r="C539" s="1" t="s">
        <v>668</v>
      </c>
      <c r="D539" s="1" t="s">
        <v>1099</v>
      </c>
      <c r="E539" s="1" t="s">
        <v>942</v>
      </c>
      <c r="F539" s="1" t="s">
        <v>943</v>
      </c>
      <c r="G539" s="1" t="s">
        <v>550</v>
      </c>
      <c r="H539" s="1" t="s">
        <v>551</v>
      </c>
      <c r="I539" s="11">
        <v>0.13289999999999999</v>
      </c>
    </row>
    <row r="540" spans="1:9" x14ac:dyDescent="0.25">
      <c r="A540" s="1" t="s">
        <v>660</v>
      </c>
      <c r="B540" s="1" t="s">
        <v>815</v>
      </c>
      <c r="C540" s="1" t="s">
        <v>668</v>
      </c>
      <c r="D540" s="1" t="s">
        <v>1099</v>
      </c>
      <c r="E540" s="1" t="s">
        <v>944</v>
      </c>
      <c r="F540" s="1" t="s">
        <v>945</v>
      </c>
      <c r="G540" s="1" t="s">
        <v>550</v>
      </c>
      <c r="H540" s="1" t="s">
        <v>551</v>
      </c>
      <c r="I540" s="11">
        <v>4.7500000000000001E-2</v>
      </c>
    </row>
    <row r="541" spans="1:9" x14ac:dyDescent="0.25">
      <c r="A541" s="1" t="s">
        <v>660</v>
      </c>
      <c r="B541" s="1" t="s">
        <v>815</v>
      </c>
      <c r="C541" s="1" t="s">
        <v>668</v>
      </c>
      <c r="D541" s="1" t="s">
        <v>1099</v>
      </c>
      <c r="E541" s="1" t="s">
        <v>946</v>
      </c>
      <c r="F541" s="1" t="s">
        <v>947</v>
      </c>
      <c r="G541" s="1" t="s">
        <v>550</v>
      </c>
      <c r="H541" s="1" t="s">
        <v>551</v>
      </c>
      <c r="I541" s="11">
        <v>6.1699999999999998E-2</v>
      </c>
    </row>
    <row r="542" spans="1:9" x14ac:dyDescent="0.25">
      <c r="A542" s="1" t="s">
        <v>660</v>
      </c>
      <c r="B542" s="1" t="s">
        <v>815</v>
      </c>
      <c r="C542" s="1" t="s">
        <v>668</v>
      </c>
      <c r="D542" s="1" t="s">
        <v>1099</v>
      </c>
      <c r="E542" s="1" t="s">
        <v>948</v>
      </c>
      <c r="F542" s="1" t="s">
        <v>949</v>
      </c>
      <c r="G542" s="1" t="s">
        <v>550</v>
      </c>
      <c r="H542" s="1" t="s">
        <v>551</v>
      </c>
      <c r="I542" s="11">
        <v>2.3900000000000001E-2</v>
      </c>
    </row>
    <row r="543" spans="1:9" x14ac:dyDescent="0.25">
      <c r="A543" s="1" t="s">
        <v>660</v>
      </c>
      <c r="B543" s="1" t="s">
        <v>815</v>
      </c>
      <c r="C543" s="1" t="s">
        <v>668</v>
      </c>
      <c r="D543" s="1" t="s">
        <v>1099</v>
      </c>
      <c r="E543" s="1" t="s">
        <v>950</v>
      </c>
      <c r="F543" s="1" t="s">
        <v>951</v>
      </c>
      <c r="G543" s="1" t="s">
        <v>550</v>
      </c>
      <c r="H543" s="1" t="s">
        <v>551</v>
      </c>
      <c r="I543" s="11">
        <v>2.3900000000000001E-2</v>
      </c>
    </row>
    <row r="544" spans="1:9" x14ac:dyDescent="0.25">
      <c r="A544" s="1" t="s">
        <v>660</v>
      </c>
      <c r="B544" s="1" t="s">
        <v>815</v>
      </c>
      <c r="C544" s="1" t="s">
        <v>668</v>
      </c>
      <c r="D544" s="1" t="s">
        <v>1099</v>
      </c>
      <c r="E544" s="1" t="s">
        <v>952</v>
      </c>
      <c r="F544" s="1" t="s">
        <v>953</v>
      </c>
      <c r="G544" s="1" t="s">
        <v>550</v>
      </c>
      <c r="H544" s="1" t="s">
        <v>551</v>
      </c>
      <c r="I544" s="11">
        <v>3.85E-2</v>
      </c>
    </row>
    <row r="545" spans="1:9" x14ac:dyDescent="0.25">
      <c r="A545" s="1" t="s">
        <v>660</v>
      </c>
      <c r="B545" s="1" t="s">
        <v>815</v>
      </c>
      <c r="C545" s="1" t="s">
        <v>668</v>
      </c>
      <c r="D545" s="1" t="s">
        <v>1099</v>
      </c>
      <c r="E545" s="1" t="s">
        <v>928</v>
      </c>
      <c r="F545" s="1" t="s">
        <v>929</v>
      </c>
      <c r="G545" s="1" t="s">
        <v>550</v>
      </c>
      <c r="H545" s="1" t="s">
        <v>551</v>
      </c>
      <c r="I545" s="11">
        <v>3.85E-2</v>
      </c>
    </row>
    <row r="546" spans="1:9" x14ac:dyDescent="0.25">
      <c r="A546" s="1" t="s">
        <v>660</v>
      </c>
      <c r="B546" s="1" t="s">
        <v>815</v>
      </c>
      <c r="C546" s="1" t="s">
        <v>668</v>
      </c>
      <c r="D546" s="1" t="s">
        <v>1099</v>
      </c>
      <c r="E546" s="1" t="s">
        <v>954</v>
      </c>
      <c r="F546" s="1" t="s">
        <v>955</v>
      </c>
      <c r="G546" s="1" t="s">
        <v>550</v>
      </c>
      <c r="H546" s="1" t="s">
        <v>551</v>
      </c>
      <c r="I546" s="11">
        <v>7.7100000000000002E-2</v>
      </c>
    </row>
    <row r="547" spans="1:9" x14ac:dyDescent="0.25">
      <c r="A547" s="1" t="s">
        <v>660</v>
      </c>
      <c r="B547" s="1" t="s">
        <v>815</v>
      </c>
      <c r="C547" s="1" t="s">
        <v>668</v>
      </c>
      <c r="D547" s="1" t="s">
        <v>1099</v>
      </c>
      <c r="E547" s="1" t="s">
        <v>930</v>
      </c>
      <c r="F547" s="1" t="s">
        <v>931</v>
      </c>
      <c r="G547" s="1" t="s">
        <v>550</v>
      </c>
      <c r="H547" s="1" t="s">
        <v>551</v>
      </c>
      <c r="I547" s="11">
        <v>0.19270000000000001</v>
      </c>
    </row>
    <row r="548" spans="1:9" x14ac:dyDescent="0.25">
      <c r="A548" s="1" t="s">
        <v>660</v>
      </c>
      <c r="B548" s="1" t="s">
        <v>815</v>
      </c>
      <c r="C548" s="1" t="s">
        <v>668</v>
      </c>
      <c r="D548" s="1" t="s">
        <v>1099</v>
      </c>
      <c r="E548" s="1" t="s">
        <v>661</v>
      </c>
      <c r="F548" s="1" t="s">
        <v>664</v>
      </c>
      <c r="G548" s="1" t="s">
        <v>550</v>
      </c>
      <c r="H548" s="1" t="s">
        <v>551</v>
      </c>
      <c r="I548" s="11">
        <v>3.8899999999999997E-2</v>
      </c>
    </row>
    <row r="549" spans="1:9" x14ac:dyDescent="0.25">
      <c r="A549" s="1" t="s">
        <v>660</v>
      </c>
      <c r="B549" s="1" t="s">
        <v>815</v>
      </c>
      <c r="C549" s="1" t="s">
        <v>668</v>
      </c>
      <c r="D549" s="1" t="s">
        <v>1099</v>
      </c>
      <c r="E549" s="1" t="s">
        <v>956</v>
      </c>
      <c r="F549" s="1" t="s">
        <v>957</v>
      </c>
      <c r="G549" s="1" t="s">
        <v>550</v>
      </c>
      <c r="H549" s="1" t="s">
        <v>551</v>
      </c>
      <c r="I549" s="11">
        <v>0.1079</v>
      </c>
    </row>
    <row r="550" spans="1:9" x14ac:dyDescent="0.25">
      <c r="A550" s="1" t="s">
        <v>660</v>
      </c>
      <c r="B550" s="1" t="s">
        <v>736</v>
      </c>
      <c r="C550" s="1" t="s">
        <v>669</v>
      </c>
      <c r="D550" s="1" t="s">
        <v>74</v>
      </c>
      <c r="E550" s="1" t="s">
        <v>914</v>
      </c>
      <c r="F550" s="1" t="s">
        <v>915</v>
      </c>
      <c r="G550" s="1" t="s">
        <v>551</v>
      </c>
      <c r="H550" s="1" t="s">
        <v>551</v>
      </c>
      <c r="I550" s="11">
        <v>0.99</v>
      </c>
    </row>
    <row r="551" spans="1:9" x14ac:dyDescent="0.25">
      <c r="A551" s="1" t="s">
        <v>660</v>
      </c>
      <c r="B551" s="1" t="s">
        <v>736</v>
      </c>
      <c r="C551" s="1" t="s">
        <v>669</v>
      </c>
      <c r="D551" s="1" t="s">
        <v>74</v>
      </c>
      <c r="E551" s="1" t="s">
        <v>916</v>
      </c>
      <c r="F551" s="1" t="s">
        <v>917</v>
      </c>
      <c r="G551" s="1" t="s">
        <v>551</v>
      </c>
      <c r="H551" s="1" t="s">
        <v>551</v>
      </c>
      <c r="I551" s="11">
        <v>0.01</v>
      </c>
    </row>
    <row r="552" spans="1:9" x14ac:dyDescent="0.25">
      <c r="A552" s="1" t="s">
        <v>660</v>
      </c>
      <c r="B552" s="1" t="s">
        <v>808</v>
      </c>
      <c r="C552" s="1" t="s">
        <v>670</v>
      </c>
      <c r="D552" s="1" t="s">
        <v>74</v>
      </c>
      <c r="E552" s="1" t="s">
        <v>958</v>
      </c>
      <c r="F552" s="1" t="s">
        <v>959</v>
      </c>
      <c r="G552" s="1" t="s">
        <v>551</v>
      </c>
      <c r="H552" s="1" t="s">
        <v>551</v>
      </c>
      <c r="I552" s="11">
        <v>0.4</v>
      </c>
    </row>
    <row r="553" spans="1:9" x14ac:dyDescent="0.25">
      <c r="A553" s="1" t="s">
        <v>660</v>
      </c>
      <c r="B553" s="1" t="s">
        <v>808</v>
      </c>
      <c r="C553" s="1" t="s">
        <v>670</v>
      </c>
      <c r="D553" s="1" t="s">
        <v>74</v>
      </c>
      <c r="E553" s="1" t="s">
        <v>960</v>
      </c>
      <c r="F553" s="1" t="s">
        <v>961</v>
      </c>
      <c r="G553" s="1" t="s">
        <v>551</v>
      </c>
      <c r="H553" s="1" t="s">
        <v>551</v>
      </c>
      <c r="I553" s="11">
        <v>0.6</v>
      </c>
    </row>
    <row r="554" spans="1:9" x14ac:dyDescent="0.25">
      <c r="A554" s="1" t="s">
        <v>660</v>
      </c>
      <c r="B554" s="1" t="s">
        <v>809</v>
      </c>
      <c r="C554" s="1" t="s">
        <v>671</v>
      </c>
      <c r="D554" s="1" t="s">
        <v>74</v>
      </c>
      <c r="E554" s="1" t="s">
        <v>962</v>
      </c>
      <c r="F554" s="1" t="s">
        <v>963</v>
      </c>
      <c r="G554" s="1" t="s">
        <v>551</v>
      </c>
      <c r="H554" s="1" t="s">
        <v>551</v>
      </c>
      <c r="I554" s="11">
        <v>0.995</v>
      </c>
    </row>
    <row r="555" spans="1:9" x14ac:dyDescent="0.25">
      <c r="A555" s="1" t="s">
        <v>660</v>
      </c>
      <c r="B555" s="1" t="s">
        <v>809</v>
      </c>
      <c r="C555" s="1" t="s">
        <v>671</v>
      </c>
      <c r="D555" s="1" t="s">
        <v>1099</v>
      </c>
      <c r="E555" s="1" t="s">
        <v>964</v>
      </c>
      <c r="F555" s="1" t="s">
        <v>965</v>
      </c>
      <c r="G555" s="1" t="s">
        <v>550</v>
      </c>
      <c r="H555" s="1" t="s">
        <v>551</v>
      </c>
      <c r="I555" s="11">
        <v>5.0000000000000001E-3</v>
      </c>
    </row>
    <row r="556" spans="1:9" x14ac:dyDescent="0.25">
      <c r="A556" s="1" t="s">
        <v>660</v>
      </c>
      <c r="B556" s="1" t="s">
        <v>810</v>
      </c>
      <c r="C556" s="1" t="s">
        <v>672</v>
      </c>
      <c r="D556" s="1" t="s">
        <v>74</v>
      </c>
      <c r="E556" s="1" t="s">
        <v>910</v>
      </c>
      <c r="F556" s="1" t="s">
        <v>911</v>
      </c>
      <c r="G556" s="1" t="s">
        <v>551</v>
      </c>
      <c r="H556" s="1" t="s">
        <v>550</v>
      </c>
    </row>
    <row r="557" spans="1:9" x14ac:dyDescent="0.25">
      <c r="A557" s="1" t="s">
        <v>660</v>
      </c>
      <c r="B557" s="1" t="s">
        <v>810</v>
      </c>
      <c r="C557" s="1" t="s">
        <v>672</v>
      </c>
      <c r="D557" s="1" t="s">
        <v>1099</v>
      </c>
      <c r="E557" s="1" t="s">
        <v>806</v>
      </c>
      <c r="F557" s="1" t="s">
        <v>666</v>
      </c>
      <c r="G557" s="1" t="s">
        <v>550</v>
      </c>
      <c r="H557" s="1" t="s">
        <v>551</v>
      </c>
      <c r="I557" s="11">
        <v>0.72199999999999998</v>
      </c>
    </row>
    <row r="558" spans="1:9" x14ac:dyDescent="0.25">
      <c r="A558" s="1" t="s">
        <v>660</v>
      </c>
      <c r="B558" s="1" t="s">
        <v>810</v>
      </c>
      <c r="C558" s="1" t="s">
        <v>672</v>
      </c>
      <c r="D558" s="1" t="s">
        <v>1099</v>
      </c>
      <c r="E558" s="1" t="s">
        <v>966</v>
      </c>
      <c r="F558" s="1" t="s">
        <v>967</v>
      </c>
      <c r="G558" s="1" t="s">
        <v>550</v>
      </c>
      <c r="H558" s="1" t="s">
        <v>551</v>
      </c>
      <c r="I558" s="11">
        <v>2.6599999999999999E-2</v>
      </c>
    </row>
    <row r="559" spans="1:9" x14ac:dyDescent="0.25">
      <c r="A559" s="1" t="s">
        <v>660</v>
      </c>
      <c r="B559" s="1" t="s">
        <v>810</v>
      </c>
      <c r="C559" s="1" t="s">
        <v>672</v>
      </c>
      <c r="D559" s="1" t="s">
        <v>1099</v>
      </c>
      <c r="E559" s="1" t="s">
        <v>948</v>
      </c>
      <c r="F559" s="1" t="s">
        <v>949</v>
      </c>
      <c r="G559" s="1" t="s">
        <v>550</v>
      </c>
      <c r="H559" s="1" t="s">
        <v>551</v>
      </c>
      <c r="I559" s="11">
        <v>1.37E-2</v>
      </c>
    </row>
    <row r="560" spans="1:9" x14ac:dyDescent="0.25">
      <c r="A560" s="1" t="s">
        <v>660</v>
      </c>
      <c r="B560" s="1" t="s">
        <v>810</v>
      </c>
      <c r="C560" s="1" t="s">
        <v>672</v>
      </c>
      <c r="D560" s="1" t="s">
        <v>1099</v>
      </c>
      <c r="E560" s="1" t="s">
        <v>968</v>
      </c>
      <c r="F560" s="1" t="s">
        <v>969</v>
      </c>
      <c r="G560" s="1" t="s">
        <v>550</v>
      </c>
      <c r="H560" s="1" t="s">
        <v>551</v>
      </c>
      <c r="I560" s="11">
        <v>2.1600000000000001E-2</v>
      </c>
    </row>
    <row r="561" spans="1:9" x14ac:dyDescent="0.25">
      <c r="A561" s="1" t="s">
        <v>660</v>
      </c>
      <c r="B561" s="1" t="s">
        <v>810</v>
      </c>
      <c r="C561" s="1" t="s">
        <v>672</v>
      </c>
      <c r="D561" s="1" t="s">
        <v>1099</v>
      </c>
      <c r="E561" s="1" t="s">
        <v>970</v>
      </c>
      <c r="F561" s="1" t="s">
        <v>971</v>
      </c>
      <c r="G561" s="1" t="s">
        <v>550</v>
      </c>
      <c r="H561" s="1" t="s">
        <v>551</v>
      </c>
      <c r="I561" s="11">
        <v>1.37E-2</v>
      </c>
    </row>
    <row r="562" spans="1:9" x14ac:dyDescent="0.25">
      <c r="A562" s="1" t="s">
        <v>660</v>
      </c>
      <c r="B562" s="1" t="s">
        <v>810</v>
      </c>
      <c r="C562" s="1" t="s">
        <v>672</v>
      </c>
      <c r="D562" s="1" t="s">
        <v>1099</v>
      </c>
      <c r="E562" s="1" t="s">
        <v>972</v>
      </c>
      <c r="F562" s="1" t="s">
        <v>973</v>
      </c>
      <c r="G562" s="1" t="s">
        <v>550</v>
      </c>
      <c r="H562" s="1" t="s">
        <v>551</v>
      </c>
      <c r="I562" s="11">
        <v>2.7799999999999998E-2</v>
      </c>
    </row>
    <row r="563" spans="1:9" x14ac:dyDescent="0.25">
      <c r="A563" s="1" t="s">
        <v>660</v>
      </c>
      <c r="B563" s="1" t="s">
        <v>810</v>
      </c>
      <c r="C563" s="1" t="s">
        <v>672</v>
      </c>
      <c r="D563" s="1" t="s">
        <v>1099</v>
      </c>
      <c r="E563" s="1" t="s">
        <v>974</v>
      </c>
      <c r="F563" s="1" t="s">
        <v>975</v>
      </c>
      <c r="G563" s="1" t="s">
        <v>550</v>
      </c>
      <c r="H563" s="1" t="s">
        <v>551</v>
      </c>
      <c r="I563" s="11">
        <v>1.6899999999999998E-2</v>
      </c>
    </row>
    <row r="564" spans="1:9" x14ac:dyDescent="0.25">
      <c r="A564" s="1" t="s">
        <v>660</v>
      </c>
      <c r="B564" s="1" t="s">
        <v>810</v>
      </c>
      <c r="C564" s="1" t="s">
        <v>672</v>
      </c>
      <c r="D564" s="1" t="s">
        <v>1099</v>
      </c>
      <c r="E564" s="1" t="s">
        <v>930</v>
      </c>
      <c r="F564" s="1" t="s">
        <v>931</v>
      </c>
      <c r="G564" s="1" t="s">
        <v>550</v>
      </c>
      <c r="H564" s="1" t="s">
        <v>551</v>
      </c>
      <c r="I564" s="11">
        <v>4.2799999999999998E-2</v>
      </c>
    </row>
    <row r="565" spans="1:9" x14ac:dyDescent="0.25">
      <c r="A565" s="1" t="s">
        <v>660</v>
      </c>
      <c r="B565" s="1" t="s">
        <v>810</v>
      </c>
      <c r="C565" s="1" t="s">
        <v>672</v>
      </c>
      <c r="D565" s="1" t="s">
        <v>1099</v>
      </c>
      <c r="E565" s="1" t="s">
        <v>932</v>
      </c>
      <c r="F565" s="1" t="s">
        <v>933</v>
      </c>
      <c r="G565" s="1" t="s">
        <v>550</v>
      </c>
      <c r="H565" s="1" t="s">
        <v>551</v>
      </c>
      <c r="I565" s="11">
        <v>0.1149</v>
      </c>
    </row>
    <row r="566" spans="1:9" x14ac:dyDescent="0.25">
      <c r="A566" s="1" t="s">
        <v>673</v>
      </c>
      <c r="B566" s="1" t="s">
        <v>674</v>
      </c>
      <c r="C566" s="1" t="s">
        <v>678</v>
      </c>
      <c r="D566" s="1" t="s">
        <v>74</v>
      </c>
      <c r="E566" s="1" t="s">
        <v>976</v>
      </c>
      <c r="F566" s="1" t="s">
        <v>977</v>
      </c>
      <c r="G566" s="1" t="s">
        <v>551</v>
      </c>
      <c r="H566" s="1" t="s">
        <v>550</v>
      </c>
    </row>
    <row r="567" spans="1:9" x14ac:dyDescent="0.25">
      <c r="A567" s="1" t="s">
        <v>673</v>
      </c>
      <c r="B567" s="1" t="s">
        <v>674</v>
      </c>
      <c r="C567" s="1" t="s">
        <v>678</v>
      </c>
      <c r="D567" s="1" t="s">
        <v>1099</v>
      </c>
      <c r="E567" s="1" t="s">
        <v>978</v>
      </c>
      <c r="F567" s="1" t="s">
        <v>979</v>
      </c>
      <c r="G567" s="1" t="s">
        <v>550</v>
      </c>
      <c r="H567" s="1" t="s">
        <v>551</v>
      </c>
      <c r="I567" s="11">
        <v>0.01</v>
      </c>
    </row>
    <row r="568" spans="1:9" x14ac:dyDescent="0.25">
      <c r="A568" s="1" t="s">
        <v>673</v>
      </c>
      <c r="B568" s="1" t="s">
        <v>674</v>
      </c>
      <c r="C568" s="1" t="s">
        <v>678</v>
      </c>
      <c r="D568" s="1" t="s">
        <v>1099</v>
      </c>
      <c r="E568" s="1" t="s">
        <v>980</v>
      </c>
      <c r="F568" s="1" t="s">
        <v>981</v>
      </c>
      <c r="G568" s="1" t="s">
        <v>550</v>
      </c>
      <c r="H568" s="1" t="s">
        <v>551</v>
      </c>
      <c r="I568" s="11">
        <v>0.99</v>
      </c>
    </row>
    <row r="569" spans="1:9" x14ac:dyDescent="0.25">
      <c r="A569" s="1" t="s">
        <v>673</v>
      </c>
      <c r="B569" s="1" t="s">
        <v>675</v>
      </c>
      <c r="C569" s="1" t="s">
        <v>679</v>
      </c>
      <c r="D569" s="1" t="s">
        <v>74</v>
      </c>
      <c r="E569" s="1" t="s">
        <v>976</v>
      </c>
      <c r="F569" s="1" t="s">
        <v>977</v>
      </c>
      <c r="G569" s="1" t="s">
        <v>551</v>
      </c>
      <c r="H569" s="1" t="s">
        <v>550</v>
      </c>
    </row>
    <row r="570" spans="1:9" x14ac:dyDescent="0.25">
      <c r="A570" s="1" t="s">
        <v>673</v>
      </c>
      <c r="B570" s="1" t="s">
        <v>675</v>
      </c>
      <c r="C570" s="1" t="s">
        <v>679</v>
      </c>
      <c r="D570" s="1" t="s">
        <v>1099</v>
      </c>
      <c r="E570" s="1" t="s">
        <v>978</v>
      </c>
      <c r="F570" s="1" t="s">
        <v>979</v>
      </c>
      <c r="G570" s="1" t="s">
        <v>550</v>
      </c>
      <c r="H570" s="1" t="s">
        <v>551</v>
      </c>
      <c r="I570" s="11">
        <v>0.73329999999999995</v>
      </c>
    </row>
    <row r="571" spans="1:9" x14ac:dyDescent="0.25">
      <c r="A571" s="1" t="s">
        <v>673</v>
      </c>
      <c r="B571" s="1" t="s">
        <v>675</v>
      </c>
      <c r="C571" s="1" t="s">
        <v>679</v>
      </c>
      <c r="D571" s="1" t="s">
        <v>1099</v>
      </c>
      <c r="E571" s="1" t="s">
        <v>980</v>
      </c>
      <c r="F571" s="1" t="s">
        <v>981</v>
      </c>
      <c r="G571" s="1" t="s">
        <v>550</v>
      </c>
      <c r="H571" s="1" t="s">
        <v>551</v>
      </c>
      <c r="I571" s="11">
        <v>0.26669999999999999</v>
      </c>
    </row>
    <row r="572" spans="1:9" x14ac:dyDescent="0.25">
      <c r="A572" s="1" t="s">
        <v>673</v>
      </c>
      <c r="B572" s="1" t="s">
        <v>676</v>
      </c>
      <c r="C572" s="1" t="s">
        <v>680</v>
      </c>
      <c r="D572" s="1" t="s">
        <v>74</v>
      </c>
      <c r="E572" s="1" t="s">
        <v>982</v>
      </c>
      <c r="F572" s="1" t="s">
        <v>983</v>
      </c>
      <c r="G572" s="1" t="s">
        <v>551</v>
      </c>
      <c r="H572" s="1" t="s">
        <v>550</v>
      </c>
    </row>
    <row r="573" spans="1:9" x14ac:dyDescent="0.25">
      <c r="A573" s="1" t="s">
        <v>673</v>
      </c>
      <c r="B573" s="1" t="s">
        <v>676</v>
      </c>
      <c r="C573" s="1" t="s">
        <v>680</v>
      </c>
      <c r="D573" s="1" t="s">
        <v>74</v>
      </c>
      <c r="E573" s="1" t="s">
        <v>984</v>
      </c>
      <c r="F573" s="1" t="s">
        <v>985</v>
      </c>
      <c r="G573" s="1" t="s">
        <v>551</v>
      </c>
      <c r="H573" s="1" t="s">
        <v>550</v>
      </c>
    </row>
    <row r="574" spans="1:9" x14ac:dyDescent="0.25">
      <c r="A574" s="1" t="s">
        <v>673</v>
      </c>
      <c r="B574" s="1" t="s">
        <v>676</v>
      </c>
      <c r="C574" s="1" t="s">
        <v>680</v>
      </c>
      <c r="D574" s="1" t="s">
        <v>74</v>
      </c>
      <c r="E574" s="1" t="s">
        <v>986</v>
      </c>
      <c r="F574" s="1" t="s">
        <v>987</v>
      </c>
      <c r="G574" s="1" t="s">
        <v>551</v>
      </c>
      <c r="H574" s="1" t="s">
        <v>550</v>
      </c>
    </row>
    <row r="575" spans="1:9" x14ac:dyDescent="0.25">
      <c r="A575" s="1" t="s">
        <v>673</v>
      </c>
      <c r="B575" s="1" t="s">
        <v>676</v>
      </c>
      <c r="C575" s="1" t="s">
        <v>680</v>
      </c>
      <c r="D575" s="1" t="s">
        <v>74</v>
      </c>
      <c r="E575" s="1" t="s">
        <v>976</v>
      </c>
      <c r="F575" s="1" t="s">
        <v>977</v>
      </c>
      <c r="G575" s="1" t="s">
        <v>551</v>
      </c>
      <c r="H575" s="1" t="s">
        <v>550</v>
      </c>
    </row>
    <row r="576" spans="1:9" x14ac:dyDescent="0.25">
      <c r="A576" s="1" t="s">
        <v>673</v>
      </c>
      <c r="B576" s="1" t="s">
        <v>676</v>
      </c>
      <c r="C576" s="1" t="s">
        <v>680</v>
      </c>
      <c r="D576" s="1" t="s">
        <v>74</v>
      </c>
      <c r="E576" s="1" t="s">
        <v>988</v>
      </c>
      <c r="F576" s="1" t="s">
        <v>989</v>
      </c>
      <c r="G576" s="1" t="s">
        <v>550</v>
      </c>
      <c r="H576" s="1" t="s">
        <v>551</v>
      </c>
      <c r="I576" s="11">
        <v>0</v>
      </c>
    </row>
    <row r="577" spans="1:9" x14ac:dyDescent="0.25">
      <c r="A577" s="1" t="s">
        <v>673</v>
      </c>
      <c r="B577" s="1" t="s">
        <v>676</v>
      </c>
      <c r="C577" s="1" t="s">
        <v>680</v>
      </c>
      <c r="D577" s="1" t="s">
        <v>1099</v>
      </c>
      <c r="E577" s="1" t="s">
        <v>978</v>
      </c>
      <c r="F577" s="1" t="s">
        <v>979</v>
      </c>
      <c r="G577" s="1" t="s">
        <v>550</v>
      </c>
      <c r="H577" s="1" t="s">
        <v>551</v>
      </c>
      <c r="I577" s="11">
        <v>0.5</v>
      </c>
    </row>
    <row r="578" spans="1:9" x14ac:dyDescent="0.25">
      <c r="A578" s="1" t="s">
        <v>673</v>
      </c>
      <c r="B578" s="1" t="s">
        <v>676</v>
      </c>
      <c r="C578" s="1" t="s">
        <v>680</v>
      </c>
      <c r="D578" s="1" t="s">
        <v>1099</v>
      </c>
      <c r="E578" s="1" t="s">
        <v>990</v>
      </c>
      <c r="F578" s="1" t="s">
        <v>991</v>
      </c>
      <c r="G578" s="1" t="s">
        <v>550</v>
      </c>
      <c r="H578" s="1" t="s">
        <v>551</v>
      </c>
      <c r="I578" s="11">
        <v>0.5</v>
      </c>
    </row>
    <row r="579" spans="1:9" x14ac:dyDescent="0.25">
      <c r="A579" s="1" t="s">
        <v>673</v>
      </c>
      <c r="B579" s="1" t="s">
        <v>677</v>
      </c>
      <c r="C579" s="1" t="s">
        <v>681</v>
      </c>
      <c r="D579" s="1" t="s">
        <v>74</v>
      </c>
      <c r="E579" s="1" t="s">
        <v>976</v>
      </c>
      <c r="F579" s="1" t="s">
        <v>977</v>
      </c>
      <c r="G579" s="1" t="s">
        <v>551</v>
      </c>
      <c r="H579" s="1" t="s">
        <v>550</v>
      </c>
    </row>
    <row r="580" spans="1:9" x14ac:dyDescent="0.25">
      <c r="A580" s="1" t="s">
        <v>673</v>
      </c>
      <c r="B580" s="1" t="s">
        <v>677</v>
      </c>
      <c r="C580" s="1" t="s">
        <v>681</v>
      </c>
      <c r="D580" s="1" t="s">
        <v>1099</v>
      </c>
      <c r="E580" s="1" t="s">
        <v>992</v>
      </c>
      <c r="F580" s="1" t="s">
        <v>993</v>
      </c>
      <c r="G580" s="1" t="s">
        <v>550</v>
      </c>
      <c r="H580" s="1" t="s">
        <v>551</v>
      </c>
      <c r="I580" s="11">
        <v>0.99</v>
      </c>
    </row>
    <row r="581" spans="1:9" x14ac:dyDescent="0.25">
      <c r="A581" s="1" t="s">
        <v>673</v>
      </c>
      <c r="B581" s="1" t="s">
        <v>677</v>
      </c>
      <c r="C581" s="1" t="s">
        <v>681</v>
      </c>
      <c r="D581" s="1" t="s">
        <v>1099</v>
      </c>
      <c r="E581" s="1" t="s">
        <v>980</v>
      </c>
      <c r="F581" s="1" t="s">
        <v>981</v>
      </c>
      <c r="G581" s="1" t="s">
        <v>550</v>
      </c>
      <c r="H581" s="1" t="s">
        <v>551</v>
      </c>
      <c r="I581" s="11">
        <v>0.01</v>
      </c>
    </row>
    <row r="582" spans="1:9" x14ac:dyDescent="0.25">
      <c r="A582" s="1" t="s">
        <v>682</v>
      </c>
      <c r="B582" s="1" t="s">
        <v>739</v>
      </c>
      <c r="C582" s="1" t="s">
        <v>693</v>
      </c>
      <c r="D582" s="1" t="s">
        <v>74</v>
      </c>
      <c r="E582" s="1" t="s">
        <v>994</v>
      </c>
      <c r="F582" s="1" t="s">
        <v>995</v>
      </c>
      <c r="G582" s="1" t="s">
        <v>551</v>
      </c>
      <c r="H582" s="1" t="s">
        <v>550</v>
      </c>
    </row>
    <row r="583" spans="1:9" x14ac:dyDescent="0.25">
      <c r="A583" s="1" t="s">
        <v>682</v>
      </c>
      <c r="B583" s="1" t="s">
        <v>739</v>
      </c>
      <c r="C583" s="1" t="s">
        <v>693</v>
      </c>
      <c r="D583" s="1" t="s">
        <v>1099</v>
      </c>
      <c r="E583" s="1" t="s">
        <v>996</v>
      </c>
      <c r="F583" s="1" t="s">
        <v>997</v>
      </c>
      <c r="G583" s="1" t="s">
        <v>550</v>
      </c>
      <c r="H583" s="1" t="s">
        <v>551</v>
      </c>
      <c r="I583" s="11">
        <v>0.99760000000000004</v>
      </c>
    </row>
    <row r="584" spans="1:9" x14ac:dyDescent="0.25">
      <c r="A584" s="1" t="s">
        <v>682</v>
      </c>
      <c r="B584" s="1" t="s">
        <v>739</v>
      </c>
      <c r="C584" s="1" t="s">
        <v>693</v>
      </c>
      <c r="D584" s="1" t="s">
        <v>1099</v>
      </c>
      <c r="E584" s="1" t="s">
        <v>998</v>
      </c>
      <c r="F584" s="1" t="s">
        <v>999</v>
      </c>
      <c r="G584" s="1" t="s">
        <v>550</v>
      </c>
      <c r="H584" s="1" t="s">
        <v>551</v>
      </c>
      <c r="I584" s="11">
        <v>2.3999999999999998E-3</v>
      </c>
    </row>
    <row r="585" spans="1:9" x14ac:dyDescent="0.25">
      <c r="A585" s="1" t="s">
        <v>682</v>
      </c>
      <c r="B585" s="1" t="s">
        <v>740</v>
      </c>
      <c r="C585" s="1" t="s">
        <v>694</v>
      </c>
      <c r="D585" s="1" t="s">
        <v>74</v>
      </c>
      <c r="E585" s="1" t="s">
        <v>994</v>
      </c>
      <c r="F585" s="1" t="s">
        <v>995</v>
      </c>
      <c r="G585" s="1" t="s">
        <v>551</v>
      </c>
      <c r="H585" s="1" t="s">
        <v>550</v>
      </c>
    </row>
    <row r="586" spans="1:9" x14ac:dyDescent="0.25">
      <c r="A586" s="1" t="s">
        <v>682</v>
      </c>
      <c r="B586" s="1" t="s">
        <v>740</v>
      </c>
      <c r="C586" s="1" t="s">
        <v>694</v>
      </c>
      <c r="D586" s="1" t="s">
        <v>1099</v>
      </c>
      <c r="E586" s="1" t="s">
        <v>741</v>
      </c>
      <c r="F586" s="1" t="s">
        <v>695</v>
      </c>
      <c r="G586" s="1" t="s">
        <v>550</v>
      </c>
      <c r="H586" s="1" t="s">
        <v>551</v>
      </c>
      <c r="I586" s="11">
        <v>0.6</v>
      </c>
    </row>
    <row r="587" spans="1:9" x14ac:dyDescent="0.25">
      <c r="A587" s="1" t="s">
        <v>682</v>
      </c>
      <c r="B587" s="1" t="s">
        <v>740</v>
      </c>
      <c r="C587" s="1" t="s">
        <v>694</v>
      </c>
      <c r="D587" s="1" t="s">
        <v>1099</v>
      </c>
      <c r="E587" s="1" t="s">
        <v>1000</v>
      </c>
      <c r="F587" s="1" t="s">
        <v>693</v>
      </c>
      <c r="G587" s="1" t="s">
        <v>550</v>
      </c>
      <c r="H587" s="1" t="s">
        <v>551</v>
      </c>
      <c r="I587" s="11">
        <v>0.4</v>
      </c>
    </row>
    <row r="588" spans="1:9" x14ac:dyDescent="0.25">
      <c r="A588" s="1" t="s">
        <v>682</v>
      </c>
      <c r="B588" s="1" t="s">
        <v>741</v>
      </c>
      <c r="C588" s="1" t="s">
        <v>695</v>
      </c>
      <c r="D588" s="1" t="s">
        <v>74</v>
      </c>
      <c r="E588" s="1" t="s">
        <v>994</v>
      </c>
      <c r="F588" s="1" t="s">
        <v>995</v>
      </c>
      <c r="G588" s="1" t="s">
        <v>551</v>
      </c>
      <c r="H588" s="1" t="s">
        <v>550</v>
      </c>
    </row>
    <row r="589" spans="1:9" x14ac:dyDescent="0.25">
      <c r="A589" s="1" t="s">
        <v>682</v>
      </c>
      <c r="B589" s="1" t="s">
        <v>741</v>
      </c>
      <c r="C589" s="1" t="s">
        <v>695</v>
      </c>
      <c r="D589" s="1" t="s">
        <v>1099</v>
      </c>
      <c r="E589" s="1" t="s">
        <v>996</v>
      </c>
      <c r="F589" s="1" t="s">
        <v>997</v>
      </c>
      <c r="G589" s="1" t="s">
        <v>550</v>
      </c>
      <c r="H589" s="1" t="s">
        <v>551</v>
      </c>
      <c r="I589" s="11">
        <v>1</v>
      </c>
    </row>
    <row r="590" spans="1:9" x14ac:dyDescent="0.25">
      <c r="A590" s="1" t="s">
        <v>682</v>
      </c>
      <c r="B590" s="1" t="s">
        <v>742</v>
      </c>
      <c r="C590" s="1" t="s">
        <v>696</v>
      </c>
      <c r="D590" s="1" t="s">
        <v>74</v>
      </c>
      <c r="E590" s="1" t="s">
        <v>994</v>
      </c>
      <c r="F590" s="1" t="s">
        <v>995</v>
      </c>
      <c r="G590" s="1" t="s">
        <v>551</v>
      </c>
      <c r="H590" s="1" t="s">
        <v>550</v>
      </c>
    </row>
    <row r="591" spans="1:9" x14ac:dyDescent="0.25">
      <c r="A591" s="1" t="s">
        <v>682</v>
      </c>
      <c r="B591" s="1" t="s">
        <v>742</v>
      </c>
      <c r="C591" s="1" t="s">
        <v>696</v>
      </c>
      <c r="D591" s="1" t="s">
        <v>1099</v>
      </c>
      <c r="E591" s="1" t="s">
        <v>741</v>
      </c>
      <c r="F591" s="1" t="s">
        <v>695</v>
      </c>
      <c r="G591" s="1" t="s">
        <v>550</v>
      </c>
      <c r="H591" s="1" t="s">
        <v>551</v>
      </c>
      <c r="I591" s="11">
        <v>0.1</v>
      </c>
    </row>
    <row r="592" spans="1:9" x14ac:dyDescent="0.25">
      <c r="A592" s="1" t="s">
        <v>682</v>
      </c>
      <c r="B592" s="1" t="s">
        <v>742</v>
      </c>
      <c r="C592" s="1" t="s">
        <v>696</v>
      </c>
      <c r="D592" s="1" t="s">
        <v>1099</v>
      </c>
      <c r="E592" s="1" t="s">
        <v>1000</v>
      </c>
      <c r="F592" s="1" t="s">
        <v>693</v>
      </c>
      <c r="G592" s="1" t="s">
        <v>550</v>
      </c>
      <c r="H592" s="1" t="s">
        <v>551</v>
      </c>
      <c r="I592" s="11">
        <v>0.9</v>
      </c>
    </row>
    <row r="593" spans="1:9" x14ac:dyDescent="0.25">
      <c r="A593" s="1" t="s">
        <v>682</v>
      </c>
      <c r="B593" s="1" t="s">
        <v>743</v>
      </c>
      <c r="C593" s="1" t="s">
        <v>697</v>
      </c>
      <c r="D593" s="1" t="s">
        <v>74</v>
      </c>
      <c r="E593" s="1" t="s">
        <v>994</v>
      </c>
      <c r="F593" s="1" t="s">
        <v>995</v>
      </c>
      <c r="G593" s="1" t="s">
        <v>551</v>
      </c>
      <c r="H593" s="1" t="s">
        <v>550</v>
      </c>
    </row>
    <row r="594" spans="1:9" x14ac:dyDescent="0.25">
      <c r="A594" s="1" t="s">
        <v>683</v>
      </c>
      <c r="B594" s="1" t="s">
        <v>685</v>
      </c>
      <c r="C594" s="1" t="s">
        <v>698</v>
      </c>
      <c r="D594" s="1" t="s">
        <v>74</v>
      </c>
      <c r="E594" s="1" t="s">
        <v>1001</v>
      </c>
      <c r="F594" s="1" t="s">
        <v>1002</v>
      </c>
      <c r="G594" s="1" t="s">
        <v>551</v>
      </c>
      <c r="H594" s="1" t="s">
        <v>550</v>
      </c>
    </row>
    <row r="595" spans="1:9" x14ac:dyDescent="0.25">
      <c r="A595" s="1" t="s">
        <v>683</v>
      </c>
      <c r="B595" s="1" t="s">
        <v>685</v>
      </c>
      <c r="C595" s="1" t="s">
        <v>698</v>
      </c>
      <c r="D595" s="1" t="s">
        <v>74</v>
      </c>
      <c r="E595" s="1" t="s">
        <v>1003</v>
      </c>
      <c r="F595" s="1" t="s">
        <v>1004</v>
      </c>
      <c r="G595" s="1" t="s">
        <v>551</v>
      </c>
      <c r="H595" s="1" t="s">
        <v>550</v>
      </c>
    </row>
    <row r="596" spans="1:9" x14ac:dyDescent="0.25">
      <c r="A596" s="1" t="s">
        <v>683</v>
      </c>
      <c r="B596" s="1" t="s">
        <v>685</v>
      </c>
      <c r="C596" s="1" t="s">
        <v>698</v>
      </c>
      <c r="D596" s="1" t="s">
        <v>74</v>
      </c>
      <c r="E596" s="1" t="s">
        <v>1005</v>
      </c>
      <c r="F596" s="1" t="s">
        <v>1006</v>
      </c>
      <c r="G596" s="1" t="s">
        <v>551</v>
      </c>
      <c r="H596" s="1" t="s">
        <v>550</v>
      </c>
    </row>
    <row r="597" spans="1:9" x14ac:dyDescent="0.25">
      <c r="A597" s="1" t="s">
        <v>683</v>
      </c>
      <c r="B597" s="1" t="s">
        <v>685</v>
      </c>
      <c r="C597" s="1" t="s">
        <v>698</v>
      </c>
      <c r="D597" s="1" t="s">
        <v>74</v>
      </c>
      <c r="E597" s="1" t="s">
        <v>1007</v>
      </c>
      <c r="F597" s="1" t="s">
        <v>1008</v>
      </c>
      <c r="G597" s="1" t="s">
        <v>550</v>
      </c>
      <c r="H597" s="1" t="s">
        <v>551</v>
      </c>
      <c r="I597" s="11">
        <v>0.01</v>
      </c>
    </row>
    <row r="598" spans="1:9" x14ac:dyDescent="0.25">
      <c r="A598" s="1" t="s">
        <v>683</v>
      </c>
      <c r="B598" s="1" t="s">
        <v>685</v>
      </c>
      <c r="C598" s="1" t="s">
        <v>698</v>
      </c>
      <c r="D598" s="1" t="s">
        <v>1099</v>
      </c>
      <c r="E598" s="1" t="s">
        <v>1009</v>
      </c>
      <c r="F598" s="1" t="s">
        <v>1010</v>
      </c>
      <c r="G598" s="1" t="s">
        <v>550</v>
      </c>
      <c r="H598" s="1" t="s">
        <v>551</v>
      </c>
      <c r="I598" s="11">
        <v>0.99</v>
      </c>
    </row>
    <row r="599" spans="1:9" x14ac:dyDescent="0.25">
      <c r="A599" s="1" t="s">
        <v>683</v>
      </c>
      <c r="B599" s="1" t="s">
        <v>744</v>
      </c>
      <c r="C599" s="1" t="s">
        <v>699</v>
      </c>
      <c r="D599" s="1" t="s">
        <v>74</v>
      </c>
      <c r="E599" s="1" t="s">
        <v>1001</v>
      </c>
      <c r="F599" s="1" t="s">
        <v>1002</v>
      </c>
      <c r="G599" s="1" t="s">
        <v>551</v>
      </c>
      <c r="H599" s="1" t="s">
        <v>551</v>
      </c>
      <c r="I599" s="11">
        <v>0.4</v>
      </c>
    </row>
    <row r="600" spans="1:9" x14ac:dyDescent="0.25">
      <c r="A600" s="1" t="s">
        <v>683</v>
      </c>
      <c r="B600" s="1" t="s">
        <v>744</v>
      </c>
      <c r="C600" s="1" t="s">
        <v>699</v>
      </c>
      <c r="D600" s="1" t="s">
        <v>74</v>
      </c>
      <c r="E600" s="1" t="s">
        <v>1011</v>
      </c>
      <c r="F600" s="1" t="s">
        <v>1012</v>
      </c>
      <c r="G600" s="1" t="s">
        <v>550</v>
      </c>
      <c r="H600" s="1" t="s">
        <v>551</v>
      </c>
      <c r="I600" s="11">
        <v>0.25</v>
      </c>
    </row>
    <row r="601" spans="1:9" x14ac:dyDescent="0.25">
      <c r="A601" s="1" t="s">
        <v>683</v>
      </c>
      <c r="B601" s="1" t="s">
        <v>744</v>
      </c>
      <c r="C601" s="1" t="s">
        <v>699</v>
      </c>
      <c r="D601" s="1" t="s">
        <v>74</v>
      </c>
      <c r="E601" s="1" t="s">
        <v>1013</v>
      </c>
      <c r="F601" s="1" t="s">
        <v>1014</v>
      </c>
      <c r="G601" s="1" t="s">
        <v>550</v>
      </c>
      <c r="H601" s="1" t="s">
        <v>551</v>
      </c>
      <c r="I601" s="11">
        <v>0.15</v>
      </c>
    </row>
    <row r="602" spans="1:9" x14ac:dyDescent="0.25">
      <c r="A602" s="1" t="s">
        <v>683</v>
      </c>
      <c r="B602" s="1" t="s">
        <v>744</v>
      </c>
      <c r="C602" s="1" t="s">
        <v>699</v>
      </c>
      <c r="D602" s="1" t="s">
        <v>74</v>
      </c>
      <c r="E602" s="1" t="s">
        <v>1015</v>
      </c>
      <c r="F602" s="1" t="s">
        <v>1016</v>
      </c>
      <c r="G602" s="1" t="s">
        <v>550</v>
      </c>
      <c r="H602" s="1" t="s">
        <v>551</v>
      </c>
      <c r="I602" s="11">
        <v>0.2</v>
      </c>
    </row>
    <row r="603" spans="1:9" x14ac:dyDescent="0.25">
      <c r="A603" s="1" t="s">
        <v>683</v>
      </c>
      <c r="B603" s="1" t="s">
        <v>817</v>
      </c>
      <c r="C603" s="1" t="s">
        <v>700</v>
      </c>
      <c r="D603" s="1" t="s">
        <v>74</v>
      </c>
      <c r="E603" s="1" t="s">
        <v>1017</v>
      </c>
      <c r="F603" s="1" t="s">
        <v>1018</v>
      </c>
      <c r="G603" s="1" t="s">
        <v>551</v>
      </c>
      <c r="H603" s="1" t="s">
        <v>551</v>
      </c>
      <c r="I603" s="11">
        <v>0.35</v>
      </c>
    </row>
    <row r="604" spans="1:9" x14ac:dyDescent="0.25">
      <c r="A604" s="1" t="s">
        <v>683</v>
      </c>
      <c r="B604" s="1" t="s">
        <v>817</v>
      </c>
      <c r="C604" s="1" t="s">
        <v>700</v>
      </c>
      <c r="D604" s="1" t="s">
        <v>74</v>
      </c>
      <c r="E604" s="1" t="s">
        <v>1019</v>
      </c>
      <c r="F604" s="1" t="s">
        <v>1020</v>
      </c>
      <c r="G604" s="1" t="s">
        <v>550</v>
      </c>
      <c r="H604" s="1" t="s">
        <v>551</v>
      </c>
      <c r="I604" s="11">
        <v>0.35</v>
      </c>
    </row>
    <row r="605" spans="1:9" x14ac:dyDescent="0.25">
      <c r="A605" s="1" t="s">
        <v>683</v>
      </c>
      <c r="B605" s="1" t="s">
        <v>817</v>
      </c>
      <c r="C605" s="1" t="s">
        <v>700</v>
      </c>
      <c r="D605" s="1" t="s">
        <v>74</v>
      </c>
      <c r="E605" s="1" t="s">
        <v>1021</v>
      </c>
      <c r="F605" s="1" t="s">
        <v>1022</v>
      </c>
      <c r="G605" s="1" t="s">
        <v>550</v>
      </c>
      <c r="H605" s="1" t="s">
        <v>551</v>
      </c>
      <c r="I605" s="11">
        <v>0.06</v>
      </c>
    </row>
    <row r="606" spans="1:9" x14ac:dyDescent="0.25">
      <c r="A606" s="1" t="s">
        <v>683</v>
      </c>
      <c r="B606" s="1" t="s">
        <v>817</v>
      </c>
      <c r="C606" s="1" t="s">
        <v>700</v>
      </c>
      <c r="D606" s="1" t="s">
        <v>74</v>
      </c>
      <c r="E606" s="1" t="s">
        <v>1023</v>
      </c>
      <c r="F606" s="1" t="s">
        <v>1024</v>
      </c>
      <c r="G606" s="1" t="s">
        <v>550</v>
      </c>
      <c r="H606" s="1" t="s">
        <v>551</v>
      </c>
      <c r="I606" s="11">
        <v>0.06</v>
      </c>
    </row>
    <row r="607" spans="1:9" x14ac:dyDescent="0.25">
      <c r="A607" s="1" t="s">
        <v>683</v>
      </c>
      <c r="B607" s="1" t="s">
        <v>817</v>
      </c>
      <c r="C607" s="1" t="s">
        <v>700</v>
      </c>
      <c r="D607" s="1" t="s">
        <v>74</v>
      </c>
      <c r="E607" s="1" t="s">
        <v>1025</v>
      </c>
      <c r="F607" s="1" t="s">
        <v>1026</v>
      </c>
      <c r="G607" s="1" t="s">
        <v>550</v>
      </c>
      <c r="H607" s="1" t="s">
        <v>551</v>
      </c>
      <c r="I607" s="11">
        <v>0.06</v>
      </c>
    </row>
    <row r="608" spans="1:9" x14ac:dyDescent="0.25">
      <c r="A608" s="1" t="s">
        <v>683</v>
      </c>
      <c r="B608" s="1" t="s">
        <v>817</v>
      </c>
      <c r="C608" s="1" t="s">
        <v>700</v>
      </c>
      <c r="D608" s="1" t="s">
        <v>74</v>
      </c>
      <c r="E608" s="1" t="s">
        <v>1027</v>
      </c>
      <c r="F608" s="1" t="s">
        <v>1028</v>
      </c>
      <c r="G608" s="1" t="s">
        <v>550</v>
      </c>
      <c r="H608" s="1" t="s">
        <v>551</v>
      </c>
      <c r="I608" s="11">
        <v>0.06</v>
      </c>
    </row>
    <row r="609" spans="1:9" x14ac:dyDescent="0.25">
      <c r="A609" s="1" t="s">
        <v>683</v>
      </c>
      <c r="B609" s="1" t="s">
        <v>817</v>
      </c>
      <c r="C609" s="1" t="s">
        <v>700</v>
      </c>
      <c r="D609" s="1" t="s">
        <v>74</v>
      </c>
      <c r="E609" s="1" t="s">
        <v>1029</v>
      </c>
      <c r="F609" s="1" t="s">
        <v>1030</v>
      </c>
      <c r="G609" s="1" t="s">
        <v>550</v>
      </c>
      <c r="H609" s="1" t="s">
        <v>551</v>
      </c>
      <c r="I609" s="11">
        <v>0.06</v>
      </c>
    </row>
    <row r="610" spans="1:9" x14ac:dyDescent="0.25">
      <c r="A610" s="1" t="s">
        <v>683</v>
      </c>
      <c r="B610" s="1" t="s">
        <v>818</v>
      </c>
      <c r="C610" s="1" t="s">
        <v>701</v>
      </c>
      <c r="D610" s="1" t="s">
        <v>74</v>
      </c>
      <c r="E610" s="1" t="s">
        <v>1017</v>
      </c>
      <c r="F610" s="1" t="s">
        <v>1018</v>
      </c>
      <c r="G610" s="1" t="s">
        <v>551</v>
      </c>
      <c r="H610" s="1" t="s">
        <v>550</v>
      </c>
    </row>
    <row r="611" spans="1:9" x14ac:dyDescent="0.25">
      <c r="A611" s="1" t="s">
        <v>683</v>
      </c>
      <c r="B611" s="1" t="s">
        <v>818</v>
      </c>
      <c r="C611" s="1" t="s">
        <v>701</v>
      </c>
      <c r="D611" s="1" t="s">
        <v>74</v>
      </c>
      <c r="E611" s="1" t="s">
        <v>1019</v>
      </c>
      <c r="F611" s="1" t="s">
        <v>1020</v>
      </c>
      <c r="G611" s="1" t="s">
        <v>551</v>
      </c>
      <c r="H611" s="1" t="s">
        <v>551</v>
      </c>
      <c r="I611" s="11">
        <v>0.5</v>
      </c>
    </row>
    <row r="612" spans="1:9" x14ac:dyDescent="0.25">
      <c r="A612" s="1" t="s">
        <v>683</v>
      </c>
      <c r="B612" s="1" t="s">
        <v>818</v>
      </c>
      <c r="C612" s="1" t="s">
        <v>701</v>
      </c>
      <c r="D612" s="1" t="s">
        <v>74</v>
      </c>
      <c r="E612" s="1" t="s">
        <v>1021</v>
      </c>
      <c r="F612" s="1" t="s">
        <v>1022</v>
      </c>
      <c r="G612" s="1" t="s">
        <v>550</v>
      </c>
      <c r="H612" s="1" t="s">
        <v>551</v>
      </c>
      <c r="I612" s="11">
        <v>0.1</v>
      </c>
    </row>
    <row r="613" spans="1:9" x14ac:dyDescent="0.25">
      <c r="A613" s="1" t="s">
        <v>683</v>
      </c>
      <c r="B613" s="1" t="s">
        <v>818</v>
      </c>
      <c r="C613" s="1" t="s">
        <v>701</v>
      </c>
      <c r="D613" s="1" t="s">
        <v>74</v>
      </c>
      <c r="E613" s="1" t="s">
        <v>1023</v>
      </c>
      <c r="F613" s="1" t="s">
        <v>1024</v>
      </c>
      <c r="G613" s="1" t="s">
        <v>550</v>
      </c>
      <c r="H613" s="1" t="s">
        <v>551</v>
      </c>
      <c r="I613" s="11">
        <v>0.1</v>
      </c>
    </row>
    <row r="614" spans="1:9" x14ac:dyDescent="0.25">
      <c r="A614" s="1" t="s">
        <v>683</v>
      </c>
      <c r="B614" s="1" t="s">
        <v>818</v>
      </c>
      <c r="C614" s="1" t="s">
        <v>701</v>
      </c>
      <c r="D614" s="1" t="s">
        <v>74</v>
      </c>
      <c r="E614" s="1" t="s">
        <v>1025</v>
      </c>
      <c r="F614" s="1" t="s">
        <v>1026</v>
      </c>
      <c r="G614" s="1" t="s">
        <v>550</v>
      </c>
      <c r="H614" s="1" t="s">
        <v>551</v>
      </c>
      <c r="I614" s="11">
        <v>0.1</v>
      </c>
    </row>
    <row r="615" spans="1:9" x14ac:dyDescent="0.25">
      <c r="A615" s="1" t="s">
        <v>683</v>
      </c>
      <c r="B615" s="1" t="s">
        <v>818</v>
      </c>
      <c r="C615" s="1" t="s">
        <v>701</v>
      </c>
      <c r="D615" s="1" t="s">
        <v>74</v>
      </c>
      <c r="E615" s="1" t="s">
        <v>1029</v>
      </c>
      <c r="F615" s="1" t="s">
        <v>1030</v>
      </c>
      <c r="G615" s="1" t="s">
        <v>550</v>
      </c>
      <c r="H615" s="1" t="s">
        <v>551</v>
      </c>
      <c r="I615" s="11">
        <v>0.1</v>
      </c>
    </row>
    <row r="616" spans="1:9" x14ac:dyDescent="0.25">
      <c r="A616" s="1" t="s">
        <v>683</v>
      </c>
      <c r="B616" s="1" t="s">
        <v>818</v>
      </c>
      <c r="C616" s="1" t="s">
        <v>701</v>
      </c>
      <c r="D616" s="1" t="s">
        <v>74</v>
      </c>
      <c r="E616" s="1" t="s">
        <v>1027</v>
      </c>
      <c r="F616" s="1" t="s">
        <v>1028</v>
      </c>
      <c r="G616" s="1" t="s">
        <v>550</v>
      </c>
      <c r="H616" s="1" t="s">
        <v>551</v>
      </c>
      <c r="I616" s="11">
        <v>0.1</v>
      </c>
    </row>
    <row r="617" spans="1:9" x14ac:dyDescent="0.25">
      <c r="A617" s="1" t="s">
        <v>683</v>
      </c>
      <c r="B617" s="1" t="s">
        <v>688</v>
      </c>
      <c r="C617" s="1" t="s">
        <v>702</v>
      </c>
      <c r="D617" s="1" t="s">
        <v>74</v>
      </c>
      <c r="E617" s="1" t="s">
        <v>1031</v>
      </c>
      <c r="F617" s="1" t="s">
        <v>1032</v>
      </c>
      <c r="G617" s="1" t="s">
        <v>551</v>
      </c>
      <c r="H617" s="1" t="s">
        <v>550</v>
      </c>
    </row>
    <row r="618" spans="1:9" x14ac:dyDescent="0.25">
      <c r="A618" s="1" t="s">
        <v>683</v>
      </c>
      <c r="B618" s="1" t="s">
        <v>688</v>
      </c>
      <c r="C618" s="1" t="s">
        <v>702</v>
      </c>
      <c r="D618" s="1" t="s">
        <v>1099</v>
      </c>
      <c r="E618" s="1" t="s">
        <v>1033</v>
      </c>
      <c r="F618" s="1" t="s">
        <v>1034</v>
      </c>
      <c r="G618" s="1" t="s">
        <v>550</v>
      </c>
      <c r="H618" s="1" t="s">
        <v>551</v>
      </c>
      <c r="I618" s="11">
        <v>0.14810000000000001</v>
      </c>
    </row>
    <row r="619" spans="1:9" x14ac:dyDescent="0.25">
      <c r="A619" s="1" t="s">
        <v>683</v>
      </c>
      <c r="B619" s="1" t="s">
        <v>688</v>
      </c>
      <c r="C619" s="1" t="s">
        <v>702</v>
      </c>
      <c r="D619" s="1" t="s">
        <v>1099</v>
      </c>
      <c r="E619" s="1" t="s">
        <v>1035</v>
      </c>
      <c r="F619" s="1" t="s">
        <v>698</v>
      </c>
      <c r="G619" s="1" t="s">
        <v>550</v>
      </c>
      <c r="H619" s="1" t="s">
        <v>551</v>
      </c>
      <c r="I619" s="11">
        <v>0.1671</v>
      </c>
    </row>
    <row r="620" spans="1:9" x14ac:dyDescent="0.25">
      <c r="A620" s="1" t="s">
        <v>683</v>
      </c>
      <c r="B620" s="1" t="s">
        <v>688</v>
      </c>
      <c r="C620" s="1" t="s">
        <v>702</v>
      </c>
      <c r="D620" s="1" t="s">
        <v>1099</v>
      </c>
      <c r="E620" s="1" t="s">
        <v>1036</v>
      </c>
      <c r="F620" s="1" t="s">
        <v>1037</v>
      </c>
      <c r="G620" s="1" t="s">
        <v>550</v>
      </c>
      <c r="H620" s="1" t="s">
        <v>551</v>
      </c>
      <c r="I620" s="11">
        <v>7.6399999999999996E-2</v>
      </c>
    </row>
    <row r="621" spans="1:9" x14ac:dyDescent="0.25">
      <c r="A621" s="1" t="s">
        <v>683</v>
      </c>
      <c r="B621" s="1" t="s">
        <v>688</v>
      </c>
      <c r="C621" s="1" t="s">
        <v>702</v>
      </c>
      <c r="D621" s="1" t="s">
        <v>1099</v>
      </c>
      <c r="E621" s="1" t="s">
        <v>817</v>
      </c>
      <c r="F621" s="1" t="s">
        <v>700</v>
      </c>
      <c r="G621" s="1" t="s">
        <v>550</v>
      </c>
      <c r="H621" s="1" t="s">
        <v>551</v>
      </c>
      <c r="I621" s="11">
        <v>6.1499999999999999E-2</v>
      </c>
    </row>
    <row r="622" spans="1:9" x14ac:dyDescent="0.25">
      <c r="A622" s="1" t="s">
        <v>683</v>
      </c>
      <c r="B622" s="1" t="s">
        <v>688</v>
      </c>
      <c r="C622" s="1" t="s">
        <v>702</v>
      </c>
      <c r="D622" s="1" t="s">
        <v>1099</v>
      </c>
      <c r="E622" s="1" t="s">
        <v>813</v>
      </c>
      <c r="F622" s="1" t="s">
        <v>703</v>
      </c>
      <c r="G622" s="1" t="s">
        <v>550</v>
      </c>
      <c r="H622" s="1" t="s">
        <v>551</v>
      </c>
      <c r="I622" s="11">
        <v>0.22159999999999999</v>
      </c>
    </row>
    <row r="623" spans="1:9" x14ac:dyDescent="0.25">
      <c r="A623" s="1" t="s">
        <v>683</v>
      </c>
      <c r="B623" s="1" t="s">
        <v>688</v>
      </c>
      <c r="C623" s="1" t="s">
        <v>702</v>
      </c>
      <c r="D623" s="1" t="s">
        <v>1099</v>
      </c>
      <c r="E623" s="1" t="s">
        <v>1038</v>
      </c>
      <c r="F623" s="1" t="s">
        <v>1039</v>
      </c>
      <c r="G623" s="1" t="s">
        <v>550</v>
      </c>
      <c r="H623" s="1" t="s">
        <v>551</v>
      </c>
      <c r="I623" s="11">
        <v>0.17510000000000001</v>
      </c>
    </row>
    <row r="624" spans="1:9" x14ac:dyDescent="0.25">
      <c r="A624" s="1" t="s">
        <v>683</v>
      </c>
      <c r="B624" s="1" t="s">
        <v>688</v>
      </c>
      <c r="C624" s="1" t="s">
        <v>702</v>
      </c>
      <c r="D624" s="1" t="s">
        <v>1099</v>
      </c>
      <c r="E624" s="1" t="s">
        <v>1040</v>
      </c>
      <c r="F624" s="1" t="s">
        <v>1041</v>
      </c>
      <c r="G624" s="1" t="s">
        <v>550</v>
      </c>
      <c r="H624" s="1" t="s">
        <v>551</v>
      </c>
      <c r="I624" s="11">
        <v>4.36E-2</v>
      </c>
    </row>
    <row r="625" spans="1:9" x14ac:dyDescent="0.25">
      <c r="A625" s="1" t="s">
        <v>683</v>
      </c>
      <c r="B625" s="1" t="s">
        <v>688</v>
      </c>
      <c r="C625" s="1" t="s">
        <v>702</v>
      </c>
      <c r="D625" s="1" t="s">
        <v>1099</v>
      </c>
      <c r="E625" s="1" t="s">
        <v>1042</v>
      </c>
      <c r="F625" s="1" t="s">
        <v>1043</v>
      </c>
      <c r="G625" s="1" t="s">
        <v>550</v>
      </c>
      <c r="H625" s="1" t="s">
        <v>551</v>
      </c>
      <c r="I625" s="11">
        <v>7.6399999999999996E-2</v>
      </c>
    </row>
    <row r="626" spans="1:9" x14ac:dyDescent="0.25">
      <c r="A626" s="1" t="s">
        <v>683</v>
      </c>
      <c r="B626" s="1" t="s">
        <v>688</v>
      </c>
      <c r="C626" s="1" t="s">
        <v>702</v>
      </c>
      <c r="D626" s="1" t="s">
        <v>1099</v>
      </c>
      <c r="E626" s="1" t="s">
        <v>1044</v>
      </c>
      <c r="F626" s="1" t="s">
        <v>699</v>
      </c>
      <c r="G626" s="1" t="s">
        <v>550</v>
      </c>
      <c r="H626" s="1" t="s">
        <v>551</v>
      </c>
      <c r="I626" s="11">
        <v>3.0300000000000001E-2</v>
      </c>
    </row>
    <row r="627" spans="1:9" x14ac:dyDescent="0.25">
      <c r="A627" s="1" t="s">
        <v>683</v>
      </c>
      <c r="B627" s="1" t="s">
        <v>813</v>
      </c>
      <c r="C627" s="1" t="s">
        <v>703</v>
      </c>
      <c r="D627" s="1" t="s">
        <v>74</v>
      </c>
      <c r="E627" s="1" t="s">
        <v>1045</v>
      </c>
      <c r="F627" s="1" t="s">
        <v>1046</v>
      </c>
      <c r="G627" s="1" t="s">
        <v>551</v>
      </c>
      <c r="H627" s="1" t="s">
        <v>551</v>
      </c>
      <c r="I627" s="11">
        <v>0.09</v>
      </c>
    </row>
    <row r="628" spans="1:9" x14ac:dyDescent="0.25">
      <c r="A628" s="1" t="s">
        <v>683</v>
      </c>
      <c r="B628" s="1" t="s">
        <v>813</v>
      </c>
      <c r="C628" s="1" t="s">
        <v>703</v>
      </c>
      <c r="D628" s="1" t="s">
        <v>74</v>
      </c>
      <c r="E628" s="1" t="s">
        <v>1047</v>
      </c>
      <c r="F628" s="1" t="s">
        <v>1048</v>
      </c>
      <c r="G628" s="1" t="s">
        <v>550</v>
      </c>
      <c r="H628" s="1" t="s">
        <v>551</v>
      </c>
      <c r="I628" s="11">
        <v>0.82</v>
      </c>
    </row>
    <row r="629" spans="1:9" x14ac:dyDescent="0.25">
      <c r="A629" s="1" t="s">
        <v>683</v>
      </c>
      <c r="B629" s="1" t="s">
        <v>813</v>
      </c>
      <c r="C629" s="1" t="s">
        <v>703</v>
      </c>
      <c r="D629" s="1" t="s">
        <v>74</v>
      </c>
      <c r="E629" s="1" t="s">
        <v>1049</v>
      </c>
      <c r="F629" s="1" t="s">
        <v>1050</v>
      </c>
      <c r="G629" s="1" t="s">
        <v>550</v>
      </c>
      <c r="H629" s="1" t="s">
        <v>551</v>
      </c>
      <c r="I629" s="11">
        <v>0.09</v>
      </c>
    </row>
    <row r="630" spans="1:9" x14ac:dyDescent="0.25">
      <c r="A630" s="1" t="s">
        <v>683</v>
      </c>
      <c r="B630" s="1" t="s">
        <v>819</v>
      </c>
      <c r="C630" s="1" t="s">
        <v>704</v>
      </c>
      <c r="D630" s="1" t="s">
        <v>74</v>
      </c>
      <c r="E630" s="1" t="s">
        <v>1031</v>
      </c>
      <c r="F630" s="1" t="s">
        <v>1032</v>
      </c>
      <c r="G630" s="1" t="s">
        <v>551</v>
      </c>
      <c r="H630" s="1" t="s">
        <v>550</v>
      </c>
    </row>
    <row r="631" spans="1:9" x14ac:dyDescent="0.25">
      <c r="A631" s="1" t="s">
        <v>683</v>
      </c>
      <c r="B631" s="1" t="s">
        <v>819</v>
      </c>
      <c r="C631" s="1" t="s">
        <v>704</v>
      </c>
      <c r="D631" s="1" t="s">
        <v>74</v>
      </c>
      <c r="E631" s="1" t="s">
        <v>1051</v>
      </c>
      <c r="F631" s="1" t="s">
        <v>1052</v>
      </c>
      <c r="G631" s="1" t="s">
        <v>551</v>
      </c>
      <c r="H631" s="1" t="s">
        <v>550</v>
      </c>
    </row>
    <row r="632" spans="1:9" x14ac:dyDescent="0.25">
      <c r="A632" s="1" t="s">
        <v>683</v>
      </c>
      <c r="B632" s="1" t="s">
        <v>819</v>
      </c>
      <c r="C632" s="1" t="s">
        <v>704</v>
      </c>
      <c r="D632" s="1" t="s">
        <v>1099</v>
      </c>
      <c r="E632" s="1" t="s">
        <v>1053</v>
      </c>
      <c r="F632" s="1" t="s">
        <v>1054</v>
      </c>
      <c r="G632" s="1" t="s">
        <v>550</v>
      </c>
      <c r="H632" s="1" t="s">
        <v>551</v>
      </c>
      <c r="I632" s="11">
        <v>0.5</v>
      </c>
    </row>
    <row r="633" spans="1:9" x14ac:dyDescent="0.25">
      <c r="A633" s="1" t="s">
        <v>683</v>
      </c>
      <c r="B633" s="1" t="s">
        <v>819</v>
      </c>
      <c r="C633" s="1" t="s">
        <v>704</v>
      </c>
      <c r="D633" s="1" t="s">
        <v>1099</v>
      </c>
      <c r="E633" s="1" t="s">
        <v>1055</v>
      </c>
      <c r="F633" s="1" t="s">
        <v>1056</v>
      </c>
      <c r="G633" s="1" t="s">
        <v>550</v>
      </c>
      <c r="H633" s="1" t="s">
        <v>551</v>
      </c>
      <c r="I633" s="11">
        <v>0.5</v>
      </c>
    </row>
    <row r="634" spans="1:9" x14ac:dyDescent="0.25">
      <c r="A634" s="1" t="s">
        <v>683</v>
      </c>
      <c r="B634" s="1" t="s">
        <v>814</v>
      </c>
      <c r="C634" s="1" t="s">
        <v>705</v>
      </c>
      <c r="D634" s="1" t="s">
        <v>74</v>
      </c>
      <c r="E634" s="1" t="s">
        <v>1057</v>
      </c>
      <c r="F634" s="1" t="s">
        <v>1058</v>
      </c>
      <c r="G634" s="1" t="s">
        <v>551</v>
      </c>
      <c r="H634" s="1" t="s">
        <v>551</v>
      </c>
      <c r="I634" s="11">
        <v>0.25</v>
      </c>
    </row>
    <row r="635" spans="1:9" x14ac:dyDescent="0.25">
      <c r="A635" s="1" t="s">
        <v>683</v>
      </c>
      <c r="B635" s="1" t="s">
        <v>814</v>
      </c>
      <c r="C635" s="1" t="s">
        <v>705</v>
      </c>
      <c r="D635" s="1" t="s">
        <v>74</v>
      </c>
      <c r="E635" s="1" t="s">
        <v>1059</v>
      </c>
      <c r="F635" s="1" t="s">
        <v>1060</v>
      </c>
      <c r="G635" s="1" t="s">
        <v>551</v>
      </c>
      <c r="H635" s="1" t="s">
        <v>551</v>
      </c>
      <c r="I635" s="11">
        <v>0.25</v>
      </c>
    </row>
    <row r="636" spans="1:9" x14ac:dyDescent="0.25">
      <c r="A636" s="1" t="s">
        <v>683</v>
      </c>
      <c r="B636" s="1" t="s">
        <v>814</v>
      </c>
      <c r="C636" s="1" t="s">
        <v>705</v>
      </c>
      <c r="D636" s="1" t="s">
        <v>74</v>
      </c>
      <c r="E636" s="1" t="s">
        <v>1019</v>
      </c>
      <c r="F636" s="1" t="s">
        <v>1020</v>
      </c>
      <c r="G636" s="1" t="s">
        <v>550</v>
      </c>
      <c r="H636" s="1" t="s">
        <v>551</v>
      </c>
      <c r="I636" s="11">
        <v>0.25</v>
      </c>
    </row>
    <row r="637" spans="1:9" x14ac:dyDescent="0.25">
      <c r="A637" s="1" t="s">
        <v>683</v>
      </c>
      <c r="B637" s="1" t="s">
        <v>814</v>
      </c>
      <c r="C637" s="1" t="s">
        <v>705</v>
      </c>
      <c r="D637" s="1" t="s">
        <v>74</v>
      </c>
      <c r="E637" s="1" t="s">
        <v>1061</v>
      </c>
      <c r="F637" s="1" t="s">
        <v>1062</v>
      </c>
      <c r="G637" s="1" t="s">
        <v>550</v>
      </c>
      <c r="H637" s="1" t="s">
        <v>551</v>
      </c>
      <c r="I637" s="11">
        <v>0.25</v>
      </c>
    </row>
    <row r="638" spans="1:9" x14ac:dyDescent="0.25">
      <c r="A638" s="1" t="s">
        <v>683</v>
      </c>
      <c r="B638" s="1" t="s">
        <v>746</v>
      </c>
      <c r="C638" s="1" t="s">
        <v>706</v>
      </c>
      <c r="D638" s="1" t="s">
        <v>74</v>
      </c>
      <c r="E638" s="1" t="s">
        <v>1063</v>
      </c>
      <c r="F638" s="1" t="s">
        <v>1064</v>
      </c>
      <c r="G638" s="1" t="s">
        <v>551</v>
      </c>
      <c r="H638" s="1" t="s">
        <v>550</v>
      </c>
    </row>
    <row r="639" spans="1:9" x14ac:dyDescent="0.25">
      <c r="A639" s="1" t="s">
        <v>683</v>
      </c>
      <c r="B639" s="1" t="s">
        <v>746</v>
      </c>
      <c r="C639" s="1" t="s">
        <v>706</v>
      </c>
      <c r="D639" s="1" t="s">
        <v>74</v>
      </c>
      <c r="E639" s="1" t="s">
        <v>1065</v>
      </c>
      <c r="F639" s="1" t="s">
        <v>1066</v>
      </c>
      <c r="G639" s="1" t="s">
        <v>551</v>
      </c>
      <c r="H639" s="1" t="s">
        <v>550</v>
      </c>
    </row>
    <row r="640" spans="1:9" x14ac:dyDescent="0.25">
      <c r="A640" s="1" t="s">
        <v>683</v>
      </c>
      <c r="B640" s="1" t="s">
        <v>746</v>
      </c>
      <c r="C640" s="1" t="s">
        <v>706</v>
      </c>
      <c r="D640" s="1" t="s">
        <v>1099</v>
      </c>
      <c r="E640" s="1" t="s">
        <v>1035</v>
      </c>
      <c r="F640" s="1" t="s">
        <v>698</v>
      </c>
      <c r="G640" s="1" t="s">
        <v>550</v>
      </c>
      <c r="H640" s="1" t="s">
        <v>551</v>
      </c>
      <c r="I640" s="11">
        <v>0.10009999999999999</v>
      </c>
    </row>
    <row r="641" spans="1:9" x14ac:dyDescent="0.25">
      <c r="A641" s="1" t="s">
        <v>683</v>
      </c>
      <c r="B641" s="1" t="s">
        <v>746</v>
      </c>
      <c r="C641" s="1" t="s">
        <v>706</v>
      </c>
      <c r="D641" s="1" t="s">
        <v>1099</v>
      </c>
      <c r="E641" s="1" t="s">
        <v>1067</v>
      </c>
      <c r="F641" s="1" t="s">
        <v>1068</v>
      </c>
      <c r="G641" s="1" t="s">
        <v>550</v>
      </c>
      <c r="H641" s="1" t="s">
        <v>551</v>
      </c>
      <c r="I641" s="11">
        <v>0.43330000000000002</v>
      </c>
    </row>
    <row r="642" spans="1:9" x14ac:dyDescent="0.25">
      <c r="A642" s="1" t="s">
        <v>683</v>
      </c>
      <c r="B642" s="1" t="s">
        <v>746</v>
      </c>
      <c r="C642" s="1" t="s">
        <v>706</v>
      </c>
      <c r="D642" s="1" t="s">
        <v>1099</v>
      </c>
      <c r="E642" s="1" t="s">
        <v>1069</v>
      </c>
      <c r="F642" s="1" t="s">
        <v>1070</v>
      </c>
      <c r="G642" s="1" t="s">
        <v>550</v>
      </c>
      <c r="H642" s="1" t="s">
        <v>551</v>
      </c>
      <c r="I642" s="11">
        <v>0.33329999999999999</v>
      </c>
    </row>
    <row r="643" spans="1:9" x14ac:dyDescent="0.25">
      <c r="A643" s="1" t="s">
        <v>683</v>
      </c>
      <c r="B643" s="1" t="s">
        <v>746</v>
      </c>
      <c r="C643" s="1" t="s">
        <v>706</v>
      </c>
      <c r="D643" s="1" t="s">
        <v>1099</v>
      </c>
      <c r="E643" s="1" t="s">
        <v>1071</v>
      </c>
      <c r="F643" s="1" t="s">
        <v>1072</v>
      </c>
      <c r="G643" s="1" t="s">
        <v>550</v>
      </c>
      <c r="H643" s="1" t="s">
        <v>551</v>
      </c>
      <c r="I643" s="11">
        <v>8.3299999999999999E-2</v>
      </c>
    </row>
    <row r="644" spans="1:9" x14ac:dyDescent="0.25">
      <c r="A644" s="1" t="s">
        <v>683</v>
      </c>
      <c r="B644" s="1" t="s">
        <v>746</v>
      </c>
      <c r="C644" s="1" t="s">
        <v>706</v>
      </c>
      <c r="D644" s="1" t="s">
        <v>1099</v>
      </c>
      <c r="E644" s="1" t="s">
        <v>1044</v>
      </c>
      <c r="F644" s="1" t="s">
        <v>699</v>
      </c>
      <c r="G644" s="1" t="s">
        <v>550</v>
      </c>
      <c r="H644" s="1" t="s">
        <v>551</v>
      </c>
      <c r="I644" s="11">
        <v>0.05</v>
      </c>
    </row>
    <row r="645" spans="1:9" x14ac:dyDescent="0.25">
      <c r="A645" s="1" t="s">
        <v>684</v>
      </c>
      <c r="B645" s="1" t="s">
        <v>691</v>
      </c>
      <c r="C645" s="1" t="s">
        <v>707</v>
      </c>
      <c r="D645" s="1" t="s">
        <v>74</v>
      </c>
      <c r="E645" s="1" t="s">
        <v>1073</v>
      </c>
      <c r="F645" s="1" t="s">
        <v>1074</v>
      </c>
      <c r="G645" s="1" t="s">
        <v>551</v>
      </c>
      <c r="H645" s="1" t="s">
        <v>550</v>
      </c>
    </row>
    <row r="646" spans="1:9" x14ac:dyDescent="0.25">
      <c r="A646" s="1" t="s">
        <v>684</v>
      </c>
      <c r="B646" s="1" t="s">
        <v>691</v>
      </c>
      <c r="C646" s="1" t="s">
        <v>707</v>
      </c>
      <c r="D646" s="1" t="s">
        <v>74</v>
      </c>
      <c r="E646" s="1" t="s">
        <v>1075</v>
      </c>
      <c r="F646" s="1" t="s">
        <v>1076</v>
      </c>
      <c r="G646" s="1" t="s">
        <v>551</v>
      </c>
      <c r="H646" s="1" t="s">
        <v>550</v>
      </c>
    </row>
    <row r="647" spans="1:9" x14ac:dyDescent="0.25">
      <c r="A647" s="1" t="s">
        <v>684</v>
      </c>
      <c r="B647" s="1" t="s">
        <v>691</v>
      </c>
      <c r="C647" s="1" t="s">
        <v>707</v>
      </c>
      <c r="D647" s="1" t="s">
        <v>74</v>
      </c>
      <c r="E647" s="1" t="s">
        <v>1077</v>
      </c>
      <c r="F647" s="1" t="s">
        <v>1078</v>
      </c>
      <c r="G647" s="1" t="s">
        <v>551</v>
      </c>
      <c r="H647" s="1" t="s">
        <v>550</v>
      </c>
    </row>
    <row r="648" spans="1:9" x14ac:dyDescent="0.25">
      <c r="A648" s="1" t="s">
        <v>684</v>
      </c>
      <c r="B648" s="1" t="s">
        <v>691</v>
      </c>
      <c r="C648" s="1" t="s">
        <v>707</v>
      </c>
      <c r="D648" s="1" t="s">
        <v>1099</v>
      </c>
      <c r="E648" s="1" t="s">
        <v>1079</v>
      </c>
      <c r="F648" s="1" t="s">
        <v>1080</v>
      </c>
      <c r="G648" s="1" t="s">
        <v>550</v>
      </c>
      <c r="H648" s="1" t="s">
        <v>551</v>
      </c>
      <c r="I648" s="11">
        <v>0.01</v>
      </c>
    </row>
    <row r="649" spans="1:9" x14ac:dyDescent="0.25">
      <c r="A649" s="1" t="s">
        <v>684</v>
      </c>
      <c r="B649" s="1" t="s">
        <v>691</v>
      </c>
      <c r="C649" s="1" t="s">
        <v>707</v>
      </c>
      <c r="D649" s="1" t="s">
        <v>1099</v>
      </c>
      <c r="E649" s="1" t="s">
        <v>1081</v>
      </c>
      <c r="F649" s="1" t="s">
        <v>711</v>
      </c>
      <c r="G649" s="1" t="s">
        <v>550</v>
      </c>
      <c r="H649" s="1" t="s">
        <v>551</v>
      </c>
      <c r="I649" s="11">
        <v>0.99890000000000001</v>
      </c>
    </row>
    <row r="650" spans="1:9" x14ac:dyDescent="0.25">
      <c r="A650" s="1" t="s">
        <v>684</v>
      </c>
      <c r="B650" s="1" t="s">
        <v>747</v>
      </c>
      <c r="C650" s="1" t="s">
        <v>709</v>
      </c>
      <c r="D650" s="1" t="s">
        <v>74</v>
      </c>
      <c r="E650" s="1" t="s">
        <v>1073</v>
      </c>
      <c r="F650" s="1" t="s">
        <v>1074</v>
      </c>
      <c r="G650" s="1" t="s">
        <v>551</v>
      </c>
      <c r="H650" s="1" t="s">
        <v>550</v>
      </c>
    </row>
    <row r="651" spans="1:9" x14ac:dyDescent="0.25">
      <c r="A651" s="1" t="s">
        <v>684</v>
      </c>
      <c r="B651" s="1" t="s">
        <v>747</v>
      </c>
      <c r="C651" s="1" t="s">
        <v>709</v>
      </c>
      <c r="D651" s="1" t="s">
        <v>74</v>
      </c>
      <c r="E651" s="1" t="s">
        <v>1075</v>
      </c>
      <c r="F651" s="1" t="s">
        <v>1076</v>
      </c>
      <c r="G651" s="1" t="s">
        <v>551</v>
      </c>
      <c r="H651" s="1" t="s">
        <v>550</v>
      </c>
    </row>
    <row r="652" spans="1:9" x14ac:dyDescent="0.25">
      <c r="A652" s="1" t="s">
        <v>684</v>
      </c>
      <c r="B652" s="1" t="s">
        <v>747</v>
      </c>
      <c r="C652" s="1" t="s">
        <v>709</v>
      </c>
      <c r="D652" s="1" t="s">
        <v>74</v>
      </c>
      <c r="E652" s="1" t="s">
        <v>1077</v>
      </c>
      <c r="F652" s="1" t="s">
        <v>1078</v>
      </c>
      <c r="G652" s="1" t="s">
        <v>551</v>
      </c>
      <c r="H652" s="1" t="s">
        <v>550</v>
      </c>
    </row>
    <row r="653" spans="1:9" x14ac:dyDescent="0.25">
      <c r="A653" s="1" t="s">
        <v>684</v>
      </c>
      <c r="B653" s="1" t="s">
        <v>747</v>
      </c>
      <c r="C653" s="1" t="s">
        <v>709</v>
      </c>
      <c r="D653" s="1" t="s">
        <v>1099</v>
      </c>
      <c r="E653" s="1" t="s">
        <v>1081</v>
      </c>
      <c r="F653" s="1" t="s">
        <v>711</v>
      </c>
      <c r="G653" s="1" t="s">
        <v>550</v>
      </c>
      <c r="H653" s="1" t="s">
        <v>551</v>
      </c>
      <c r="I653" s="11">
        <v>1</v>
      </c>
    </row>
    <row r="654" spans="1:9" x14ac:dyDescent="0.25">
      <c r="A654" s="1" t="s">
        <v>684</v>
      </c>
      <c r="B654" s="1" t="s">
        <v>748</v>
      </c>
      <c r="C654" s="1" t="s">
        <v>710</v>
      </c>
      <c r="D654" s="1" t="s">
        <v>74</v>
      </c>
      <c r="E654" s="1" t="s">
        <v>1082</v>
      </c>
      <c r="F654" s="1" t="s">
        <v>1083</v>
      </c>
      <c r="G654" s="1" t="s">
        <v>551</v>
      </c>
      <c r="H654" s="1" t="s">
        <v>550</v>
      </c>
    </row>
    <row r="655" spans="1:9" x14ac:dyDescent="0.25">
      <c r="A655" s="1" t="s">
        <v>684</v>
      </c>
      <c r="B655" s="1" t="s">
        <v>748</v>
      </c>
      <c r="C655" s="1" t="s">
        <v>710</v>
      </c>
      <c r="D655" s="1" t="s">
        <v>74</v>
      </c>
      <c r="E655" s="1" t="s">
        <v>1084</v>
      </c>
      <c r="F655" s="1" t="s">
        <v>1085</v>
      </c>
      <c r="G655" s="1" t="s">
        <v>550</v>
      </c>
      <c r="H655" s="1" t="s">
        <v>551</v>
      </c>
      <c r="I655" s="11">
        <v>0.1105</v>
      </c>
    </row>
    <row r="656" spans="1:9" x14ac:dyDescent="0.25">
      <c r="A656" s="1" t="s">
        <v>684</v>
      </c>
      <c r="B656" s="1" t="s">
        <v>748</v>
      </c>
      <c r="C656" s="1" t="s">
        <v>710</v>
      </c>
      <c r="D656" s="1" t="s">
        <v>74</v>
      </c>
      <c r="E656" s="1" t="s">
        <v>1086</v>
      </c>
      <c r="F656" s="1" t="s">
        <v>1087</v>
      </c>
      <c r="G656" s="1" t="s">
        <v>550</v>
      </c>
      <c r="H656" s="1" t="s">
        <v>551</v>
      </c>
      <c r="I656" s="11">
        <v>0.1105</v>
      </c>
    </row>
    <row r="657" spans="1:9" x14ac:dyDescent="0.25">
      <c r="A657" s="1" t="s">
        <v>684</v>
      </c>
      <c r="B657" s="1" t="s">
        <v>748</v>
      </c>
      <c r="C657" s="1" t="s">
        <v>710</v>
      </c>
      <c r="D657" s="1" t="s">
        <v>74</v>
      </c>
      <c r="E657" s="1" t="s">
        <v>1088</v>
      </c>
      <c r="F657" s="1" t="s">
        <v>1089</v>
      </c>
      <c r="G657" s="1" t="s">
        <v>550</v>
      </c>
      <c r="H657" s="1" t="s">
        <v>551</v>
      </c>
      <c r="I657" s="11">
        <v>0.1105</v>
      </c>
    </row>
    <row r="658" spans="1:9" x14ac:dyDescent="0.25">
      <c r="A658" s="1" t="s">
        <v>684</v>
      </c>
      <c r="B658" s="1" t="s">
        <v>748</v>
      </c>
      <c r="C658" s="1" t="s">
        <v>710</v>
      </c>
      <c r="D658" s="1" t="s">
        <v>74</v>
      </c>
      <c r="E658" s="1" t="s">
        <v>1090</v>
      </c>
      <c r="F658" s="1" t="s">
        <v>1091</v>
      </c>
      <c r="G658" s="1" t="s">
        <v>550</v>
      </c>
      <c r="H658" s="1" t="s">
        <v>551</v>
      </c>
      <c r="I658" s="11">
        <v>0.1105</v>
      </c>
    </row>
    <row r="659" spans="1:9" x14ac:dyDescent="0.25">
      <c r="A659" s="1" t="s">
        <v>684</v>
      </c>
      <c r="B659" s="1" t="s">
        <v>748</v>
      </c>
      <c r="C659" s="1" t="s">
        <v>710</v>
      </c>
      <c r="D659" s="1" t="s">
        <v>74</v>
      </c>
      <c r="E659" s="1" t="s">
        <v>1073</v>
      </c>
      <c r="F659" s="1" t="s">
        <v>1074</v>
      </c>
      <c r="G659" s="1" t="s">
        <v>550</v>
      </c>
      <c r="H659" s="1" t="s">
        <v>551</v>
      </c>
      <c r="I659" s="11">
        <v>0.1105</v>
      </c>
    </row>
    <row r="660" spans="1:9" x14ac:dyDescent="0.25">
      <c r="A660" s="1" t="s">
        <v>684</v>
      </c>
      <c r="B660" s="1" t="s">
        <v>748</v>
      </c>
      <c r="C660" s="1" t="s">
        <v>710</v>
      </c>
      <c r="D660" s="1" t="s">
        <v>74</v>
      </c>
      <c r="E660" s="1" t="s">
        <v>1075</v>
      </c>
      <c r="F660" s="1" t="s">
        <v>1076</v>
      </c>
      <c r="G660" s="1" t="s">
        <v>550</v>
      </c>
      <c r="H660" s="1" t="s">
        <v>551</v>
      </c>
      <c r="I660" s="11">
        <v>0.1105</v>
      </c>
    </row>
    <row r="661" spans="1:9" x14ac:dyDescent="0.25">
      <c r="A661" s="1" t="s">
        <v>684</v>
      </c>
      <c r="B661" s="1" t="s">
        <v>748</v>
      </c>
      <c r="C661" s="1" t="s">
        <v>710</v>
      </c>
      <c r="D661" s="1" t="s">
        <v>74</v>
      </c>
      <c r="E661" s="1" t="s">
        <v>1092</v>
      </c>
      <c r="F661" s="1" t="s">
        <v>1093</v>
      </c>
      <c r="G661" s="1" t="s">
        <v>550</v>
      </c>
      <c r="H661" s="1" t="s">
        <v>551</v>
      </c>
      <c r="I661" s="11">
        <v>0.1105</v>
      </c>
    </row>
    <row r="662" spans="1:9" x14ac:dyDescent="0.25">
      <c r="A662" s="1" t="s">
        <v>684</v>
      </c>
      <c r="B662" s="1" t="s">
        <v>748</v>
      </c>
      <c r="C662" s="1" t="s">
        <v>710</v>
      </c>
      <c r="D662" s="1" t="s">
        <v>74</v>
      </c>
      <c r="E662" s="1" t="s">
        <v>1094</v>
      </c>
      <c r="F662" s="1" t="s">
        <v>1095</v>
      </c>
      <c r="G662" s="1" t="s">
        <v>550</v>
      </c>
      <c r="H662" s="1" t="s">
        <v>551</v>
      </c>
      <c r="I662" s="11">
        <v>0.1105</v>
      </c>
    </row>
    <row r="663" spans="1:9" x14ac:dyDescent="0.25">
      <c r="A663" s="1" t="s">
        <v>684</v>
      </c>
      <c r="B663" s="1" t="s">
        <v>748</v>
      </c>
      <c r="C663" s="1" t="s">
        <v>710</v>
      </c>
      <c r="D663" s="1" t="s">
        <v>74</v>
      </c>
      <c r="E663" s="1" t="s">
        <v>1077</v>
      </c>
      <c r="F663" s="1" t="s">
        <v>1078</v>
      </c>
      <c r="G663" s="1" t="s">
        <v>550</v>
      </c>
      <c r="H663" s="1" t="s">
        <v>551</v>
      </c>
      <c r="I663" s="11">
        <v>0.1105</v>
      </c>
    </row>
    <row r="664" spans="1:9" x14ac:dyDescent="0.25">
      <c r="A664" s="1" t="s">
        <v>684</v>
      </c>
      <c r="B664" s="1" t="s">
        <v>748</v>
      </c>
      <c r="C664" s="1" t="s">
        <v>710</v>
      </c>
      <c r="D664" s="1" t="s">
        <v>1099</v>
      </c>
      <c r="E664" s="1" t="s">
        <v>1096</v>
      </c>
      <c r="F664" s="1" t="s">
        <v>1097</v>
      </c>
      <c r="G664" s="1" t="s">
        <v>550</v>
      </c>
      <c r="H664" s="1" t="s">
        <v>551</v>
      </c>
      <c r="I664" s="11">
        <v>5.7999999999999996E-3</v>
      </c>
    </row>
    <row r="665" spans="1:9" x14ac:dyDescent="0.25">
      <c r="A665" s="1" t="s">
        <v>684</v>
      </c>
      <c r="B665" s="1" t="s">
        <v>749</v>
      </c>
      <c r="C665" s="1" t="s">
        <v>711</v>
      </c>
      <c r="D665" s="1" t="s">
        <v>74</v>
      </c>
      <c r="E665" s="1" t="s">
        <v>1075</v>
      </c>
      <c r="F665" s="1" t="s">
        <v>1076</v>
      </c>
      <c r="G665" s="1" t="s">
        <v>551</v>
      </c>
      <c r="H665" s="1" t="s">
        <v>550</v>
      </c>
    </row>
    <row r="666" spans="1:9" x14ac:dyDescent="0.25">
      <c r="A666" s="1" t="s">
        <v>684</v>
      </c>
      <c r="B666" s="1" t="s">
        <v>749</v>
      </c>
      <c r="C666" s="1" t="s">
        <v>711</v>
      </c>
      <c r="D666" s="1" t="s">
        <v>1099</v>
      </c>
      <c r="E666" s="1" t="s">
        <v>1096</v>
      </c>
      <c r="F666" s="1" t="s">
        <v>1097</v>
      </c>
      <c r="G666" s="1" t="s">
        <v>550</v>
      </c>
      <c r="H666" s="1" t="s">
        <v>551</v>
      </c>
      <c r="I666" s="11">
        <v>0</v>
      </c>
    </row>
    <row r="667" spans="1:9" x14ac:dyDescent="0.25">
      <c r="A667" s="1" t="s">
        <v>684</v>
      </c>
      <c r="B667" s="1" t="s">
        <v>749</v>
      </c>
      <c r="C667" s="1" t="s">
        <v>711</v>
      </c>
      <c r="D667" s="1" t="s">
        <v>1099</v>
      </c>
      <c r="E667" s="1" t="s">
        <v>1098</v>
      </c>
      <c r="F667" s="1" t="s">
        <v>710</v>
      </c>
      <c r="G667" s="1" t="s">
        <v>550</v>
      </c>
      <c r="H667" s="1" t="s">
        <v>551</v>
      </c>
      <c r="I667" s="11">
        <v>1</v>
      </c>
    </row>
    <row r="668" spans="1:9" x14ac:dyDescent="0.25">
      <c r="A668" s="1" t="s">
        <v>684</v>
      </c>
      <c r="B668" s="1" t="s">
        <v>792</v>
      </c>
      <c r="C668" s="1" t="s">
        <v>708</v>
      </c>
      <c r="D668" s="1" t="s">
        <v>74</v>
      </c>
      <c r="E668" s="1" t="s">
        <v>1073</v>
      </c>
      <c r="F668" s="1" t="s">
        <v>1074</v>
      </c>
      <c r="G668" s="1" t="s">
        <v>551</v>
      </c>
      <c r="H668" s="1" t="s">
        <v>550</v>
      </c>
    </row>
    <row r="669" spans="1:9" x14ac:dyDescent="0.25">
      <c r="A669" s="1" t="s">
        <v>684</v>
      </c>
      <c r="B669" s="1" t="s">
        <v>792</v>
      </c>
      <c r="C669" s="1" t="s">
        <v>708</v>
      </c>
      <c r="D669" s="1" t="s">
        <v>74</v>
      </c>
      <c r="E669" s="1" t="s">
        <v>1075</v>
      </c>
      <c r="F669" s="1" t="s">
        <v>1076</v>
      </c>
      <c r="G669" s="1" t="s">
        <v>551</v>
      </c>
      <c r="H669" s="1" t="s">
        <v>550</v>
      </c>
    </row>
    <row r="670" spans="1:9" x14ac:dyDescent="0.25">
      <c r="A670" s="1" t="s">
        <v>684</v>
      </c>
      <c r="B670" s="1" t="s">
        <v>792</v>
      </c>
      <c r="C670" s="1" t="s">
        <v>708</v>
      </c>
      <c r="D670" s="1" t="s">
        <v>74</v>
      </c>
      <c r="E670" s="1" t="s">
        <v>1077</v>
      </c>
      <c r="F670" s="1" t="s">
        <v>1078</v>
      </c>
      <c r="G670" s="1" t="s">
        <v>551</v>
      </c>
      <c r="H670" s="1" t="s">
        <v>550</v>
      </c>
    </row>
    <row r="671" spans="1:9" x14ac:dyDescent="0.25">
      <c r="A671" s="1" t="s">
        <v>684</v>
      </c>
      <c r="B671" s="1" t="s">
        <v>792</v>
      </c>
      <c r="C671" s="1" t="s">
        <v>708</v>
      </c>
      <c r="D671" s="1" t="s">
        <v>1099</v>
      </c>
      <c r="E671" s="1" t="s">
        <v>1081</v>
      </c>
      <c r="F671" s="1" t="s">
        <v>711</v>
      </c>
      <c r="G671" s="1" t="s">
        <v>550</v>
      </c>
      <c r="H671" s="1" t="s">
        <v>551</v>
      </c>
      <c r="I671" s="11">
        <v>1</v>
      </c>
    </row>
    <row r="672" spans="1:9" x14ac:dyDescent="0.25">
      <c r="A672" s="1" t="s">
        <v>113</v>
      </c>
      <c r="B672" s="1" t="s">
        <v>114</v>
      </c>
      <c r="C672" s="1" t="s">
        <v>568</v>
      </c>
      <c r="D672" s="1" t="s">
        <v>74</v>
      </c>
      <c r="E672" s="1" t="s">
        <v>115</v>
      </c>
      <c r="F672" s="1" t="s">
        <v>116</v>
      </c>
      <c r="G672" s="1" t="s">
        <v>551</v>
      </c>
      <c r="H672" s="1" t="s">
        <v>551</v>
      </c>
      <c r="I672" s="11">
        <v>0.17</v>
      </c>
    </row>
    <row r="673" spans="1:9" x14ac:dyDescent="0.25">
      <c r="A673" s="1" t="s">
        <v>113</v>
      </c>
      <c r="B673" s="1" t="s">
        <v>114</v>
      </c>
      <c r="C673" s="1" t="s">
        <v>568</v>
      </c>
      <c r="D673" s="1" t="s">
        <v>74</v>
      </c>
      <c r="E673" s="1" t="s">
        <v>117</v>
      </c>
      <c r="F673" s="1" t="s">
        <v>118</v>
      </c>
      <c r="G673" s="1" t="s">
        <v>551</v>
      </c>
      <c r="H673" s="1" t="s">
        <v>551</v>
      </c>
      <c r="I673" s="11">
        <v>0.17</v>
      </c>
    </row>
    <row r="674" spans="1:9" x14ac:dyDescent="0.25">
      <c r="A674" s="1" t="s">
        <v>113</v>
      </c>
      <c r="B674" s="1" t="s">
        <v>114</v>
      </c>
      <c r="C674" s="1" t="s">
        <v>568</v>
      </c>
      <c r="D674" s="1" t="s">
        <v>74</v>
      </c>
      <c r="E674" s="1" t="s">
        <v>127</v>
      </c>
      <c r="F674" s="1" t="s">
        <v>128</v>
      </c>
      <c r="G674" s="1" t="s">
        <v>550</v>
      </c>
      <c r="H674" s="1" t="s">
        <v>551</v>
      </c>
      <c r="I674" s="11">
        <v>0.16300000000000001</v>
      </c>
    </row>
    <row r="675" spans="1:9" x14ac:dyDescent="0.25">
      <c r="A675" s="1" t="s">
        <v>113</v>
      </c>
      <c r="B675" s="1" t="s">
        <v>114</v>
      </c>
      <c r="C675" s="1" t="s">
        <v>568</v>
      </c>
      <c r="D675" s="1" t="s">
        <v>74</v>
      </c>
      <c r="E675" s="1" t="s">
        <v>129</v>
      </c>
      <c r="F675" s="1" t="s">
        <v>130</v>
      </c>
      <c r="G675" s="1" t="s">
        <v>550</v>
      </c>
      <c r="H675" s="1" t="s">
        <v>551</v>
      </c>
      <c r="I675" s="11">
        <v>0.16300000000000001</v>
      </c>
    </row>
    <row r="676" spans="1:9" x14ac:dyDescent="0.25">
      <c r="A676" s="1" t="s">
        <v>113</v>
      </c>
      <c r="B676" s="1" t="s">
        <v>114</v>
      </c>
      <c r="C676" s="1" t="s">
        <v>568</v>
      </c>
      <c r="D676" s="1" t="s">
        <v>74</v>
      </c>
      <c r="E676" s="1" t="s">
        <v>122</v>
      </c>
      <c r="F676" s="1" t="s">
        <v>123</v>
      </c>
      <c r="G676" s="1" t="s">
        <v>550</v>
      </c>
      <c r="H676" s="1" t="s">
        <v>551</v>
      </c>
      <c r="I676" s="11">
        <v>0.16400000000000001</v>
      </c>
    </row>
    <row r="677" spans="1:9" x14ac:dyDescent="0.25">
      <c r="A677" s="1" t="s">
        <v>113</v>
      </c>
      <c r="B677" s="1" t="s">
        <v>114</v>
      </c>
      <c r="C677" s="1" t="s">
        <v>568</v>
      </c>
      <c r="D677" s="1" t="s">
        <v>74</v>
      </c>
      <c r="E677" s="1" t="s">
        <v>131</v>
      </c>
      <c r="F677" s="1" t="s">
        <v>132</v>
      </c>
      <c r="G677" s="1" t="s">
        <v>550</v>
      </c>
      <c r="H677" s="1" t="s">
        <v>551</v>
      </c>
      <c r="I677" s="11">
        <v>0.17</v>
      </c>
    </row>
    <row r="678" spans="1:9" x14ac:dyDescent="0.25">
      <c r="A678" s="1" t="s">
        <v>113</v>
      </c>
      <c r="B678" s="1" t="s">
        <v>119</v>
      </c>
      <c r="C678" s="1" t="s">
        <v>569</v>
      </c>
      <c r="D678" s="1" t="s">
        <v>74</v>
      </c>
      <c r="E678" s="1" t="s">
        <v>115</v>
      </c>
      <c r="F678" s="1" t="s">
        <v>116</v>
      </c>
      <c r="G678" s="1" t="s">
        <v>551</v>
      </c>
      <c r="H678" s="1" t="s">
        <v>551</v>
      </c>
      <c r="I678" s="11">
        <v>0.5</v>
      </c>
    </row>
    <row r="679" spans="1:9" x14ac:dyDescent="0.25">
      <c r="A679" s="1" t="s">
        <v>113</v>
      </c>
      <c r="B679" s="1" t="s">
        <v>119</v>
      </c>
      <c r="C679" s="1" t="s">
        <v>569</v>
      </c>
      <c r="D679" s="1" t="s">
        <v>74</v>
      </c>
      <c r="E679" s="1" t="s">
        <v>122</v>
      </c>
      <c r="F679" s="1" t="s">
        <v>123</v>
      </c>
      <c r="G679" s="1" t="s">
        <v>551</v>
      </c>
      <c r="H679" s="1" t="s">
        <v>551</v>
      </c>
      <c r="I679" s="11">
        <v>0.5</v>
      </c>
    </row>
    <row r="680" spans="1:9" x14ac:dyDescent="0.25">
      <c r="A680" s="1" t="s">
        <v>113</v>
      </c>
      <c r="B680" s="1" t="s">
        <v>692</v>
      </c>
      <c r="C680" s="1" t="s">
        <v>570</v>
      </c>
      <c r="D680" s="1" t="s">
        <v>74</v>
      </c>
      <c r="E680" s="1" t="s">
        <v>120</v>
      </c>
      <c r="F680" s="1" t="s">
        <v>121</v>
      </c>
      <c r="G680" s="1" t="s">
        <v>551</v>
      </c>
      <c r="H680" s="1" t="s">
        <v>551</v>
      </c>
      <c r="I680" s="11">
        <v>0.5</v>
      </c>
    </row>
    <row r="681" spans="1:9" x14ac:dyDescent="0.25">
      <c r="A681" s="1" t="s">
        <v>113</v>
      </c>
      <c r="B681" s="1" t="s">
        <v>692</v>
      </c>
      <c r="C681" s="1" t="s">
        <v>570</v>
      </c>
      <c r="D681" s="1" t="s">
        <v>74</v>
      </c>
      <c r="E681" s="1" t="s">
        <v>122</v>
      </c>
      <c r="F681" s="1" t="s">
        <v>123</v>
      </c>
      <c r="G681" s="1" t="s">
        <v>551</v>
      </c>
      <c r="H681" s="1" t="s">
        <v>551</v>
      </c>
      <c r="I681" s="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2CDB-7C54-4FA6-AD75-F846EB522F90}">
  <sheetPr>
    <tabColor rgb="FF00B050"/>
  </sheetPr>
  <dimension ref="A1:C33"/>
  <sheetViews>
    <sheetView zoomScale="130" zoomScaleNormal="130" workbookViewId="0"/>
  </sheetViews>
  <sheetFormatPr baseColWidth="10" defaultColWidth="10.85546875" defaultRowHeight="15" x14ac:dyDescent="0.25"/>
  <cols>
    <col min="1" max="1" width="36.42578125" style="1" bestFit="1" customWidth="1"/>
    <col min="2" max="2" width="22.5703125" style="1" bestFit="1" customWidth="1"/>
    <col min="3" max="3" width="16.42578125" style="1" bestFit="1" customWidth="1"/>
    <col min="4" max="16384" width="10.85546875" style="1"/>
  </cols>
  <sheetData>
    <row r="1" spans="1:3" x14ac:dyDescent="0.25">
      <c r="A1" s="2" t="s">
        <v>1113</v>
      </c>
    </row>
    <row r="2" spans="1:3" x14ac:dyDescent="0.25">
      <c r="A2" s="2"/>
    </row>
    <row r="3" spans="1:3" x14ac:dyDescent="0.25">
      <c r="A3" s="2" t="s">
        <v>1114</v>
      </c>
      <c r="B3" s="2" t="s">
        <v>1115</v>
      </c>
      <c r="C3" s="2" t="s">
        <v>1124</v>
      </c>
    </row>
    <row r="4" spans="1:3" x14ac:dyDescent="0.25">
      <c r="A4" s="1" t="s">
        <v>1108</v>
      </c>
      <c r="B4" s="1" t="s">
        <v>1116</v>
      </c>
      <c r="C4" s="1" t="s">
        <v>1120</v>
      </c>
    </row>
    <row r="5" spans="1:3" x14ac:dyDescent="0.25">
      <c r="A5" s="1" t="s">
        <v>835</v>
      </c>
      <c r="B5" s="1" t="s">
        <v>1117</v>
      </c>
      <c r="C5" s="1" t="s">
        <v>1120</v>
      </c>
    </row>
    <row r="6" spans="1:3" x14ac:dyDescent="0.25">
      <c r="A6" s="1" t="s">
        <v>1100</v>
      </c>
      <c r="B6" s="1" t="s">
        <v>1119</v>
      </c>
      <c r="C6" s="1" t="s">
        <v>1120</v>
      </c>
    </row>
    <row r="7" spans="1:3" x14ac:dyDescent="0.25">
      <c r="A7" s="1" t="s">
        <v>1101</v>
      </c>
      <c r="B7" s="1" t="s">
        <v>1116</v>
      </c>
      <c r="C7" s="1" t="s">
        <v>1120</v>
      </c>
    </row>
    <row r="8" spans="1:3" x14ac:dyDescent="0.25">
      <c r="A8" s="1" t="s">
        <v>1103</v>
      </c>
      <c r="B8" s="1" t="s">
        <v>1118</v>
      </c>
      <c r="C8" s="1" t="s">
        <v>1120</v>
      </c>
    </row>
    <row r="9" spans="1:3" x14ac:dyDescent="0.25">
      <c r="A9" s="1" t="s">
        <v>1104</v>
      </c>
      <c r="B9" s="1" t="s">
        <v>1116</v>
      </c>
      <c r="C9" s="1" t="s">
        <v>1121</v>
      </c>
    </row>
    <row r="10" spans="1:3" x14ac:dyDescent="0.25">
      <c r="A10" s="1" t="s">
        <v>1105</v>
      </c>
      <c r="B10" s="1" t="s">
        <v>1116</v>
      </c>
      <c r="C10" s="1" t="s">
        <v>1120</v>
      </c>
    </row>
    <row r="11" spans="1:3" x14ac:dyDescent="0.25">
      <c r="A11" s="1" t="s">
        <v>1106</v>
      </c>
      <c r="B11" s="1" t="s">
        <v>1116</v>
      </c>
      <c r="C11" s="1" t="s">
        <v>1121</v>
      </c>
    </row>
    <row r="12" spans="1:3" x14ac:dyDescent="0.25">
      <c r="A12" s="1" t="s">
        <v>1107</v>
      </c>
      <c r="B12" s="1" t="s">
        <v>1116</v>
      </c>
      <c r="C12" s="1" t="s">
        <v>1121</v>
      </c>
    </row>
    <row r="13" spans="1:3" x14ac:dyDescent="0.25">
      <c r="A13" s="1" t="s">
        <v>1102</v>
      </c>
      <c r="B13" s="1" t="s">
        <v>1116</v>
      </c>
      <c r="C13" s="1" t="s">
        <v>1121</v>
      </c>
    </row>
    <row r="14" spans="1:3" x14ac:dyDescent="0.25">
      <c r="A14" s="1" t="s">
        <v>1109</v>
      </c>
      <c r="B14" s="1" t="s">
        <v>1112</v>
      </c>
      <c r="C14" s="1" t="s">
        <v>1120</v>
      </c>
    </row>
    <row r="15" spans="1:3" x14ac:dyDescent="0.25">
      <c r="A15" s="1" t="s">
        <v>1110</v>
      </c>
      <c r="B15" s="1" t="s">
        <v>1111</v>
      </c>
      <c r="C15" s="1" t="s">
        <v>1120</v>
      </c>
    </row>
    <row r="16" spans="1:3" x14ac:dyDescent="0.25">
      <c r="A16" s="1" t="s">
        <v>1122</v>
      </c>
      <c r="B16" s="1" t="s">
        <v>1111</v>
      </c>
      <c r="C16" s="1" t="s">
        <v>1120</v>
      </c>
    </row>
    <row r="17" spans="1:3" x14ac:dyDescent="0.25">
      <c r="A17" s="1" t="s">
        <v>1123</v>
      </c>
      <c r="B17" s="1" t="s">
        <v>1116</v>
      </c>
      <c r="C17" s="1" t="s">
        <v>1120</v>
      </c>
    </row>
    <row r="18" spans="1:3" x14ac:dyDescent="0.25">
      <c r="A18" s="1" t="s">
        <v>1127</v>
      </c>
      <c r="B18" s="1" t="s">
        <v>1116</v>
      </c>
      <c r="C18" s="1" t="s">
        <v>1120</v>
      </c>
    </row>
    <row r="19" spans="1:3" x14ac:dyDescent="0.25">
      <c r="A19" s="1" t="s">
        <v>1128</v>
      </c>
      <c r="B19" s="1" t="s">
        <v>1116</v>
      </c>
      <c r="C19" s="1" t="s">
        <v>1120</v>
      </c>
    </row>
    <row r="20" spans="1:3" x14ac:dyDescent="0.25">
      <c r="A20" s="1" t="s">
        <v>1129</v>
      </c>
      <c r="B20" s="1" t="s">
        <v>1116</v>
      </c>
      <c r="C20" s="1" t="s">
        <v>1120</v>
      </c>
    </row>
    <row r="21" spans="1:3" x14ac:dyDescent="0.25">
      <c r="A21" s="1" t="s">
        <v>1130</v>
      </c>
      <c r="B21" s="1" t="s">
        <v>1116</v>
      </c>
      <c r="C21" s="1" t="s">
        <v>1120</v>
      </c>
    </row>
    <row r="22" spans="1:3" x14ac:dyDescent="0.25">
      <c r="A22" s="1" t="s">
        <v>1131</v>
      </c>
      <c r="B22" s="1" t="s">
        <v>1119</v>
      </c>
      <c r="C22" s="1" t="s">
        <v>1120</v>
      </c>
    </row>
    <row r="23" spans="1:3" x14ac:dyDescent="0.25">
      <c r="A23" s="1" t="s">
        <v>1132</v>
      </c>
      <c r="B23" s="1" t="s">
        <v>1119</v>
      </c>
      <c r="C23" s="1" t="s">
        <v>1120</v>
      </c>
    </row>
    <row r="24" spans="1:3" x14ac:dyDescent="0.25">
      <c r="A24" s="1" t="s">
        <v>1133</v>
      </c>
      <c r="B24" s="1" t="s">
        <v>1116</v>
      </c>
      <c r="C24" s="1" t="s">
        <v>1120</v>
      </c>
    </row>
    <row r="25" spans="1:3" x14ac:dyDescent="0.25">
      <c r="A25" s="1" t="s">
        <v>1134</v>
      </c>
      <c r="B25" s="1" t="s">
        <v>1116</v>
      </c>
      <c r="C25" s="1" t="s">
        <v>1120</v>
      </c>
    </row>
    <row r="26" spans="1:3" x14ac:dyDescent="0.25">
      <c r="A26" s="1" t="s">
        <v>1135</v>
      </c>
      <c r="B26" s="1" t="s">
        <v>1116</v>
      </c>
      <c r="C26" s="1" t="s">
        <v>1120</v>
      </c>
    </row>
    <row r="27" spans="1:3" x14ac:dyDescent="0.25">
      <c r="A27" s="1" t="s">
        <v>1136</v>
      </c>
      <c r="B27" s="1" t="s">
        <v>1116</v>
      </c>
      <c r="C27" s="1" t="s">
        <v>1120</v>
      </c>
    </row>
    <row r="28" spans="1:3" x14ac:dyDescent="0.25">
      <c r="A28" s="1" t="s">
        <v>1137</v>
      </c>
      <c r="B28" s="1" t="s">
        <v>1116</v>
      </c>
      <c r="C28" s="1" t="s">
        <v>1120</v>
      </c>
    </row>
    <row r="29" spans="1:3" x14ac:dyDescent="0.25">
      <c r="A29" s="1" t="s">
        <v>1138</v>
      </c>
      <c r="B29" s="1" t="s">
        <v>1116</v>
      </c>
      <c r="C29" s="1" t="s">
        <v>1120</v>
      </c>
    </row>
    <row r="30" spans="1:3" x14ac:dyDescent="0.25">
      <c r="A30" s="1" t="s">
        <v>1139</v>
      </c>
      <c r="B30" s="1" t="s">
        <v>1116</v>
      </c>
      <c r="C30" s="1" t="s">
        <v>1120</v>
      </c>
    </row>
    <row r="31" spans="1:3" x14ac:dyDescent="0.25">
      <c r="A31" s="1" t="s">
        <v>1140</v>
      </c>
      <c r="B31" s="1" t="s">
        <v>1116</v>
      </c>
      <c r="C31" s="1" t="s">
        <v>1120</v>
      </c>
    </row>
    <row r="33" spans="1:1" x14ac:dyDescent="0.25">
      <c r="A33" s="1" t="s">
        <v>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F4C9-5340-4959-BC0A-908FF0C19C60}">
  <dimension ref="A2:D22"/>
  <sheetViews>
    <sheetView workbookViewId="0">
      <selection activeCell="A21" sqref="A21:C22"/>
    </sheetView>
  </sheetViews>
  <sheetFormatPr baseColWidth="10" defaultColWidth="11.5703125" defaultRowHeight="15" x14ac:dyDescent="0.25"/>
  <cols>
    <col min="1" max="1" width="11.5703125" style="1"/>
    <col min="2" max="2" width="2.5703125" style="1" bestFit="1" customWidth="1"/>
    <col min="3" max="3" width="37.85546875" style="1" bestFit="1" customWidth="1"/>
    <col min="4" max="4" width="44" style="1" customWidth="1"/>
    <col min="5" max="16384" width="11.5703125" style="1"/>
  </cols>
  <sheetData>
    <row r="2" spans="1:4" x14ac:dyDescent="0.25">
      <c r="B2" s="2" t="s">
        <v>24</v>
      </c>
      <c r="C2" s="2" t="s">
        <v>6</v>
      </c>
      <c r="D2" s="1" t="s">
        <v>22</v>
      </c>
    </row>
    <row r="3" spans="1:4" x14ac:dyDescent="0.25">
      <c r="D3" s="1" t="s">
        <v>23</v>
      </c>
    </row>
    <row r="5" spans="1:4" x14ac:dyDescent="0.25">
      <c r="B5" s="2" t="s">
        <v>25</v>
      </c>
      <c r="C5" s="2" t="s">
        <v>26</v>
      </c>
      <c r="D5" s="1" t="s">
        <v>27</v>
      </c>
    </row>
    <row r="6" spans="1:4" x14ac:dyDescent="0.25">
      <c r="D6" s="1" t="s">
        <v>28</v>
      </c>
    </row>
    <row r="8" spans="1:4" x14ac:dyDescent="0.25">
      <c r="B8" s="2" t="s">
        <v>29</v>
      </c>
      <c r="C8" s="2" t="s">
        <v>30</v>
      </c>
      <c r="D8" s="1" t="s">
        <v>31</v>
      </c>
    </row>
    <row r="9" spans="1:4" x14ac:dyDescent="0.25">
      <c r="D9" s="1" t="s">
        <v>32</v>
      </c>
    </row>
    <row r="10" spans="1:4" x14ac:dyDescent="0.25">
      <c r="D10" s="1" t="s">
        <v>33</v>
      </c>
    </row>
    <row r="12" spans="1:4" x14ac:dyDescent="0.25">
      <c r="B12" s="2" t="s">
        <v>35</v>
      </c>
      <c r="C12" s="2" t="s">
        <v>11</v>
      </c>
      <c r="D12" s="1" t="s">
        <v>36</v>
      </c>
    </row>
    <row r="13" spans="1:4" x14ac:dyDescent="0.25">
      <c r="D13" s="1" t="s">
        <v>37</v>
      </c>
    </row>
    <row r="15" spans="1:4" ht="105" x14ac:dyDescent="0.25">
      <c r="A15" s="2"/>
      <c r="B15" s="2" t="s">
        <v>54</v>
      </c>
      <c r="C15" s="2" t="s">
        <v>52</v>
      </c>
      <c r="D15" s="3" t="s">
        <v>55</v>
      </c>
    </row>
    <row r="16" spans="1:4" ht="75" x14ac:dyDescent="0.25">
      <c r="A16" s="2"/>
      <c r="B16" s="2"/>
      <c r="C16" s="2"/>
      <c r="D16" s="3" t="s">
        <v>829</v>
      </c>
    </row>
    <row r="17" spans="1:4" x14ac:dyDescent="0.25">
      <c r="D17" s="3"/>
    </row>
    <row r="18" spans="1:4" x14ac:dyDescent="0.25">
      <c r="D18" s="3"/>
    </row>
    <row r="21" spans="1:4" ht="75" x14ac:dyDescent="0.25">
      <c r="A21" s="2"/>
      <c r="B21" s="2" t="s">
        <v>56</v>
      </c>
      <c r="C21" s="2" t="s">
        <v>57</v>
      </c>
      <c r="D21" s="3" t="s">
        <v>58</v>
      </c>
    </row>
    <row r="22" spans="1:4" x14ac:dyDescent="0.25">
      <c r="A22" s="2"/>
      <c r="B22" s="2"/>
      <c r="C22" s="2"/>
      <c r="D22" s="1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RELACIONADAS</vt:lpstr>
      <vt:lpstr>PROPUESTA FORMULARIO</vt:lpstr>
      <vt:lpstr>MATRICES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Reyes</dc:creator>
  <cp:lastModifiedBy>Alessandra Reyes</cp:lastModifiedBy>
  <dcterms:created xsi:type="dcterms:W3CDTF">2025-07-25T14:03:58Z</dcterms:created>
  <dcterms:modified xsi:type="dcterms:W3CDTF">2025-08-01T17:48:07Z</dcterms:modified>
</cp:coreProperties>
</file>